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22d07a181ba1429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99" codeName="{3D1A710C-6663-3D7B-7F91-EC182F24A4BC}"/>
  <workbookPr filterPrivacy="1" codeName="ThisWorkbook" defaultThemeVersion="124226"/>
  <xr:revisionPtr revIDLastSave="0" documentId="13_ncr:1_{3046E4B8-02CC-48A3-AC36-7D91386AB8AD}" xr6:coauthVersionLast="36" xr6:coauthVersionMax="36" xr10:uidLastSave="{00000000-0000-0000-0000-000000000000}"/>
  <bookViews>
    <workbookView xWindow="240" yWindow="108" windowWidth="14808" windowHeight="8016" activeTab="5" xr2:uid="{00000000-000D-0000-FFFF-FFFF00000000}"/>
  </bookViews>
  <sheets>
    <sheet name="Shape" sheetId="3" r:id="rId1"/>
    <sheet name="Main" sheetId="2" r:id="rId2"/>
    <sheet name="fondation" sheetId="4" r:id="rId3"/>
    <sheet name="C1" sheetId="5" r:id="rId4"/>
    <sheet name="C2" sheetId="6" r:id="rId5"/>
    <sheet name="B1" sheetId="7" r:id="rId6"/>
  </sheets>
  <calcPr calcId="191029"/>
</workbook>
</file>

<file path=xl/calcChain.xml><?xml version="1.0" encoding="utf-8"?>
<calcChain xmlns="http://schemas.openxmlformats.org/spreadsheetml/2006/main">
  <c r="P13" i="7" l="1"/>
  <c r="O13" i="7"/>
  <c r="N13" i="7"/>
  <c r="M13" i="7"/>
  <c r="L13" i="7"/>
  <c r="K13" i="7"/>
  <c r="J13" i="7"/>
  <c r="I13" i="7"/>
  <c r="H13" i="7"/>
  <c r="G13" i="7"/>
  <c r="F13" i="7"/>
  <c r="A13" i="7"/>
  <c r="A12" i="7"/>
  <c r="P11" i="7"/>
  <c r="O11" i="7"/>
  <c r="N11" i="7"/>
  <c r="M11" i="7"/>
  <c r="L11" i="7"/>
  <c r="K11" i="7"/>
  <c r="J11" i="7"/>
  <c r="I11" i="7"/>
  <c r="H11" i="7"/>
  <c r="G11" i="7"/>
  <c r="F11" i="7"/>
  <c r="A11" i="7"/>
  <c r="P10" i="7"/>
  <c r="O10" i="7"/>
  <c r="N10" i="7"/>
  <c r="M10" i="7"/>
  <c r="L10" i="7"/>
  <c r="K10" i="7"/>
  <c r="J10" i="7"/>
  <c r="I10" i="7"/>
  <c r="H10" i="7"/>
  <c r="G10" i="7"/>
  <c r="F10" i="7"/>
  <c r="A10" i="7"/>
  <c r="P9" i="7"/>
  <c r="O9" i="7"/>
  <c r="N9" i="7"/>
  <c r="M9" i="7"/>
  <c r="L9" i="7"/>
  <c r="K9" i="7"/>
  <c r="J9" i="7"/>
  <c r="I9" i="7"/>
  <c r="H9" i="7"/>
  <c r="G9" i="7"/>
  <c r="F9" i="7"/>
  <c r="A9" i="7"/>
  <c r="P8" i="7"/>
  <c r="O8" i="7"/>
  <c r="N8" i="7"/>
  <c r="M8" i="7"/>
  <c r="L8" i="7"/>
  <c r="K8" i="7"/>
  <c r="J8" i="7"/>
  <c r="I8" i="7"/>
  <c r="H8" i="7"/>
  <c r="G8" i="7"/>
  <c r="F8" i="7"/>
  <c r="A8" i="7"/>
  <c r="P7" i="7"/>
  <c r="O7" i="7"/>
  <c r="N7" i="7"/>
  <c r="M7" i="7"/>
  <c r="L7" i="7"/>
  <c r="K7" i="7"/>
  <c r="J7" i="7"/>
  <c r="I7" i="7"/>
  <c r="H7" i="7"/>
  <c r="G7" i="7"/>
  <c r="F7" i="7"/>
  <c r="A7" i="7"/>
  <c r="P6" i="7"/>
  <c r="O6" i="7"/>
  <c r="N6" i="7"/>
  <c r="M6" i="7"/>
  <c r="L6" i="7"/>
  <c r="K6" i="7"/>
  <c r="J6" i="7"/>
  <c r="I6" i="7"/>
  <c r="H6" i="7"/>
  <c r="G6" i="7"/>
  <c r="F6" i="7"/>
  <c r="A6" i="7"/>
  <c r="P5" i="7"/>
  <c r="O5" i="7"/>
  <c r="N5" i="7"/>
  <c r="M5" i="7"/>
  <c r="L5" i="7"/>
  <c r="K5" i="7"/>
  <c r="J5" i="7"/>
  <c r="I5" i="7"/>
  <c r="H5" i="7"/>
  <c r="G5" i="7"/>
  <c r="F5" i="7"/>
  <c r="A5" i="7"/>
  <c r="P4" i="7"/>
  <c r="P12" i="7" s="1"/>
  <c r="P14" i="7" s="1"/>
  <c r="O4" i="7"/>
  <c r="O12" i="7" s="1"/>
  <c r="O14" i="7" s="1"/>
  <c r="N4" i="7"/>
  <c r="N12" i="7" s="1"/>
  <c r="N14" i="7" s="1"/>
  <c r="M4" i="7"/>
  <c r="M12" i="7" s="1"/>
  <c r="M14" i="7" s="1"/>
  <c r="L4" i="7"/>
  <c r="L12" i="7" s="1"/>
  <c r="L14" i="7" s="1"/>
  <c r="K4" i="7"/>
  <c r="K12" i="7" s="1"/>
  <c r="K14" i="7" s="1"/>
  <c r="J4" i="7"/>
  <c r="J12" i="7" s="1"/>
  <c r="J14" i="7" s="1"/>
  <c r="I4" i="7"/>
  <c r="I12" i="7" s="1"/>
  <c r="I14" i="7" s="1"/>
  <c r="H4" i="7"/>
  <c r="H12" i="7" s="1"/>
  <c r="H14" i="7" s="1"/>
  <c r="G4" i="7"/>
  <c r="G12" i="7" s="1"/>
  <c r="G14" i="7" s="1"/>
  <c r="F4" i="7"/>
  <c r="F12" i="7" s="1"/>
  <c r="F14" i="7" s="1"/>
  <c r="F15" i="7" s="1"/>
  <c r="A4" i="7"/>
  <c r="D3" i="7"/>
  <c r="P13" i="6"/>
  <c r="O13" i="6"/>
  <c r="N13" i="6"/>
  <c r="M13" i="6"/>
  <c r="L13" i="6"/>
  <c r="K13" i="6"/>
  <c r="J13" i="6"/>
  <c r="I13" i="6"/>
  <c r="H13" i="6"/>
  <c r="G13" i="6"/>
  <c r="F13" i="6"/>
  <c r="A13" i="6"/>
  <c r="A12" i="6"/>
  <c r="P11" i="6"/>
  <c r="O11" i="6"/>
  <c r="N11" i="6"/>
  <c r="M11" i="6"/>
  <c r="L11" i="6"/>
  <c r="K11" i="6"/>
  <c r="J11" i="6"/>
  <c r="I11" i="6"/>
  <c r="H11" i="6"/>
  <c r="G11" i="6"/>
  <c r="F11" i="6"/>
  <c r="A11" i="6"/>
  <c r="P10" i="6"/>
  <c r="O10" i="6"/>
  <c r="N10" i="6"/>
  <c r="M10" i="6"/>
  <c r="L10" i="6"/>
  <c r="K10" i="6"/>
  <c r="J10" i="6"/>
  <c r="I10" i="6"/>
  <c r="H10" i="6"/>
  <c r="G10" i="6"/>
  <c r="F10" i="6"/>
  <c r="A10" i="6"/>
  <c r="P9" i="6"/>
  <c r="O9" i="6"/>
  <c r="N9" i="6"/>
  <c r="M9" i="6"/>
  <c r="L9" i="6"/>
  <c r="K9" i="6"/>
  <c r="J9" i="6"/>
  <c r="I9" i="6"/>
  <c r="H9" i="6"/>
  <c r="G9" i="6"/>
  <c r="F9" i="6"/>
  <c r="A9" i="6"/>
  <c r="P8" i="6"/>
  <c r="O8" i="6"/>
  <c r="N8" i="6"/>
  <c r="M8" i="6"/>
  <c r="L8" i="6"/>
  <c r="K8" i="6"/>
  <c r="J8" i="6"/>
  <c r="I8" i="6"/>
  <c r="H8" i="6"/>
  <c r="G8" i="6"/>
  <c r="F8" i="6"/>
  <c r="A8" i="6"/>
  <c r="P7" i="6"/>
  <c r="O7" i="6"/>
  <c r="N7" i="6"/>
  <c r="M7" i="6"/>
  <c r="L7" i="6"/>
  <c r="K7" i="6"/>
  <c r="J7" i="6"/>
  <c r="I7" i="6"/>
  <c r="H7" i="6"/>
  <c r="G7" i="6"/>
  <c r="F7" i="6"/>
  <c r="A7" i="6"/>
  <c r="P6" i="6"/>
  <c r="O6" i="6"/>
  <c r="N6" i="6"/>
  <c r="M6" i="6"/>
  <c r="L6" i="6"/>
  <c r="K6" i="6"/>
  <c r="J6" i="6"/>
  <c r="I6" i="6"/>
  <c r="H6" i="6"/>
  <c r="G6" i="6"/>
  <c r="F6" i="6"/>
  <c r="A6" i="6"/>
  <c r="P5" i="6"/>
  <c r="O5" i="6"/>
  <c r="N5" i="6"/>
  <c r="M5" i="6"/>
  <c r="L5" i="6"/>
  <c r="K5" i="6"/>
  <c r="J5" i="6"/>
  <c r="I5" i="6"/>
  <c r="H5" i="6"/>
  <c r="G5" i="6"/>
  <c r="F5" i="6"/>
  <c r="A5" i="6"/>
  <c r="P4" i="6"/>
  <c r="P12" i="6" s="1"/>
  <c r="P14" i="6" s="1"/>
  <c r="O4" i="6"/>
  <c r="O12" i="6" s="1"/>
  <c r="O14" i="6" s="1"/>
  <c r="N4" i="6"/>
  <c r="M4" i="6"/>
  <c r="M12" i="6" s="1"/>
  <c r="M14" i="6" s="1"/>
  <c r="L4" i="6"/>
  <c r="L12" i="6" s="1"/>
  <c r="L14" i="6" s="1"/>
  <c r="K4" i="6"/>
  <c r="K12" i="6" s="1"/>
  <c r="K14" i="6" s="1"/>
  <c r="J4" i="6"/>
  <c r="J12" i="6" s="1"/>
  <c r="J14" i="6" s="1"/>
  <c r="I4" i="6"/>
  <c r="I12" i="6" s="1"/>
  <c r="I14" i="6" s="1"/>
  <c r="H4" i="6"/>
  <c r="H12" i="6" s="1"/>
  <c r="H14" i="6" s="1"/>
  <c r="G4" i="6"/>
  <c r="G12" i="6" s="1"/>
  <c r="G14" i="6" s="1"/>
  <c r="F4" i="6"/>
  <c r="F12" i="6" s="1"/>
  <c r="F14" i="6" s="1"/>
  <c r="A4" i="6"/>
  <c r="D3" i="6"/>
  <c r="P13" i="5"/>
  <c r="O13" i="5"/>
  <c r="N13" i="5"/>
  <c r="M13" i="5"/>
  <c r="L13" i="5"/>
  <c r="K13" i="5"/>
  <c r="J13" i="5"/>
  <c r="I13" i="5"/>
  <c r="H13" i="5"/>
  <c r="G13" i="5"/>
  <c r="F13" i="5"/>
  <c r="A13" i="5"/>
  <c r="A12" i="5"/>
  <c r="P11" i="5"/>
  <c r="O11" i="5"/>
  <c r="N11" i="5"/>
  <c r="M11" i="5"/>
  <c r="L11" i="5"/>
  <c r="K11" i="5"/>
  <c r="J11" i="5"/>
  <c r="I11" i="5"/>
  <c r="H11" i="5"/>
  <c r="G11" i="5"/>
  <c r="F11" i="5"/>
  <c r="A11" i="5"/>
  <c r="P10" i="5"/>
  <c r="O10" i="5"/>
  <c r="N10" i="5"/>
  <c r="M10" i="5"/>
  <c r="L10" i="5"/>
  <c r="K10" i="5"/>
  <c r="J10" i="5"/>
  <c r="I10" i="5"/>
  <c r="H10" i="5"/>
  <c r="G10" i="5"/>
  <c r="F10" i="5"/>
  <c r="A10" i="5"/>
  <c r="P9" i="5"/>
  <c r="O9" i="5"/>
  <c r="N9" i="5"/>
  <c r="M9" i="5"/>
  <c r="L9" i="5"/>
  <c r="K9" i="5"/>
  <c r="J9" i="5"/>
  <c r="I9" i="5"/>
  <c r="H9" i="5"/>
  <c r="G9" i="5"/>
  <c r="F9" i="5"/>
  <c r="A9" i="5"/>
  <c r="P8" i="5"/>
  <c r="O8" i="5"/>
  <c r="N8" i="5"/>
  <c r="M8" i="5"/>
  <c r="L8" i="5"/>
  <c r="K8" i="5"/>
  <c r="J8" i="5"/>
  <c r="I8" i="5"/>
  <c r="H8" i="5"/>
  <c r="G8" i="5"/>
  <c r="F8" i="5"/>
  <c r="A8" i="5"/>
  <c r="P7" i="5"/>
  <c r="O7" i="5"/>
  <c r="N7" i="5"/>
  <c r="M7" i="5"/>
  <c r="L7" i="5"/>
  <c r="K7" i="5"/>
  <c r="J7" i="5"/>
  <c r="I7" i="5"/>
  <c r="H7" i="5"/>
  <c r="G7" i="5"/>
  <c r="F7" i="5"/>
  <c r="A7" i="5"/>
  <c r="P6" i="5"/>
  <c r="O6" i="5"/>
  <c r="N6" i="5"/>
  <c r="M6" i="5"/>
  <c r="L6" i="5"/>
  <c r="K6" i="5"/>
  <c r="J6" i="5"/>
  <c r="I6" i="5"/>
  <c r="H6" i="5"/>
  <c r="G6" i="5"/>
  <c r="F6" i="5"/>
  <c r="A6" i="5"/>
  <c r="P5" i="5"/>
  <c r="O5" i="5"/>
  <c r="N5" i="5"/>
  <c r="M5" i="5"/>
  <c r="L5" i="5"/>
  <c r="K5" i="5"/>
  <c r="J5" i="5"/>
  <c r="I5" i="5"/>
  <c r="H5" i="5"/>
  <c r="G5" i="5"/>
  <c r="F5" i="5"/>
  <c r="A5" i="5"/>
  <c r="P4" i="5"/>
  <c r="O4" i="5"/>
  <c r="O12" i="5" s="1"/>
  <c r="O14" i="5" s="1"/>
  <c r="N4" i="5"/>
  <c r="M4" i="5"/>
  <c r="M12" i="5" s="1"/>
  <c r="M14" i="5" s="1"/>
  <c r="L4" i="5"/>
  <c r="K4" i="5"/>
  <c r="K12" i="5" s="1"/>
  <c r="K14" i="5" s="1"/>
  <c r="J4" i="5"/>
  <c r="I4" i="5"/>
  <c r="I12" i="5" s="1"/>
  <c r="I14" i="5" s="1"/>
  <c r="H4" i="5"/>
  <c r="G4" i="5"/>
  <c r="G12" i="5" s="1"/>
  <c r="G14" i="5" s="1"/>
  <c r="F4" i="5"/>
  <c r="A4" i="5"/>
  <c r="D3" i="5"/>
  <c r="N12" i="6" l="1"/>
  <c r="N14" i="6" s="1"/>
  <c r="F15" i="6" s="1"/>
  <c r="F12" i="5"/>
  <c r="F14" i="5" s="1"/>
  <c r="H12" i="5"/>
  <c r="H14" i="5" s="1"/>
  <c r="J12" i="5"/>
  <c r="J14" i="5" s="1"/>
  <c r="L12" i="5"/>
  <c r="L14" i="5" s="1"/>
  <c r="N12" i="5"/>
  <c r="N14" i="5" s="1"/>
  <c r="P12" i="5"/>
  <c r="P14" i="5" s="1"/>
  <c r="P13" i="4"/>
  <c r="O13" i="4"/>
  <c r="N13" i="4"/>
  <c r="M13" i="4"/>
  <c r="L13" i="4"/>
  <c r="K13" i="4"/>
  <c r="J13" i="4"/>
  <c r="I13" i="4"/>
  <c r="H13" i="4"/>
  <c r="G13" i="4"/>
  <c r="F13" i="4"/>
  <c r="A13" i="4"/>
  <c r="A12" i="4"/>
  <c r="P11" i="4"/>
  <c r="O11" i="4"/>
  <c r="N11" i="4"/>
  <c r="M11" i="4"/>
  <c r="L11" i="4"/>
  <c r="K11" i="4"/>
  <c r="J11" i="4"/>
  <c r="I11" i="4"/>
  <c r="H11" i="4"/>
  <c r="G11" i="4"/>
  <c r="F11" i="4"/>
  <c r="A11" i="4"/>
  <c r="P10" i="4"/>
  <c r="O10" i="4"/>
  <c r="N10" i="4"/>
  <c r="M10" i="4"/>
  <c r="L10" i="4"/>
  <c r="K10" i="4"/>
  <c r="J10" i="4"/>
  <c r="I10" i="4"/>
  <c r="H10" i="4"/>
  <c r="G10" i="4"/>
  <c r="F10" i="4"/>
  <c r="A10" i="4"/>
  <c r="P9" i="4"/>
  <c r="O9" i="4"/>
  <c r="N9" i="4"/>
  <c r="M9" i="4"/>
  <c r="L9" i="4"/>
  <c r="K9" i="4"/>
  <c r="J9" i="4"/>
  <c r="I9" i="4"/>
  <c r="H9" i="4"/>
  <c r="G9" i="4"/>
  <c r="F9" i="4"/>
  <c r="A9" i="4"/>
  <c r="P8" i="4"/>
  <c r="O8" i="4"/>
  <c r="N8" i="4"/>
  <c r="M8" i="4"/>
  <c r="L8" i="4"/>
  <c r="K8" i="4"/>
  <c r="J8" i="4"/>
  <c r="I8" i="4"/>
  <c r="H8" i="4"/>
  <c r="G8" i="4"/>
  <c r="F8" i="4"/>
  <c r="A8" i="4"/>
  <c r="P7" i="4"/>
  <c r="O7" i="4"/>
  <c r="N7" i="4"/>
  <c r="M7" i="4"/>
  <c r="L7" i="4"/>
  <c r="K7" i="4"/>
  <c r="J7" i="4"/>
  <c r="I7" i="4"/>
  <c r="H7" i="4"/>
  <c r="G7" i="4"/>
  <c r="F7" i="4"/>
  <c r="A7" i="4"/>
  <c r="P6" i="4"/>
  <c r="O6" i="4"/>
  <c r="N6" i="4"/>
  <c r="M6" i="4"/>
  <c r="L6" i="4"/>
  <c r="K6" i="4"/>
  <c r="J6" i="4"/>
  <c r="I6" i="4"/>
  <c r="H6" i="4"/>
  <c r="G6" i="4"/>
  <c r="F6" i="4"/>
  <c r="A6" i="4"/>
  <c r="P5" i="4"/>
  <c r="O5" i="4"/>
  <c r="N5" i="4"/>
  <c r="M5" i="4"/>
  <c r="L5" i="4"/>
  <c r="K5" i="4"/>
  <c r="J5" i="4"/>
  <c r="I5" i="4"/>
  <c r="G5" i="4"/>
  <c r="F5" i="4"/>
  <c r="H5" i="4"/>
  <c r="A5" i="4"/>
  <c r="P4" i="4"/>
  <c r="P12" i="4" s="1"/>
  <c r="P14" i="4" s="1"/>
  <c r="O4" i="4"/>
  <c r="N4" i="4"/>
  <c r="N12" i="4" s="1"/>
  <c r="N14" i="4" s="1"/>
  <c r="M4" i="4"/>
  <c r="L4" i="4"/>
  <c r="L12" i="4" s="1"/>
  <c r="L14" i="4" s="1"/>
  <c r="K4" i="4"/>
  <c r="J4" i="4"/>
  <c r="J12" i="4" s="1"/>
  <c r="J14" i="4" s="1"/>
  <c r="I4" i="4"/>
  <c r="H4" i="4"/>
  <c r="H12" i="4" s="1"/>
  <c r="H14" i="4" s="1"/>
  <c r="G4" i="4"/>
  <c r="F4" i="4"/>
  <c r="F12" i="4" s="1"/>
  <c r="F14" i="4" s="1"/>
  <c r="A4" i="4"/>
  <c r="D3" i="4"/>
  <c r="F15" i="5" l="1"/>
  <c r="G12" i="4"/>
  <c r="G14" i="4" s="1"/>
  <c r="I12" i="4"/>
  <c r="I14" i="4" s="1"/>
  <c r="K12" i="4"/>
  <c r="K14" i="4" s="1"/>
  <c r="M12" i="4"/>
  <c r="M14" i="4" s="1"/>
  <c r="O12" i="4"/>
  <c r="O14" i="4" s="1"/>
  <c r="F4" i="2"/>
  <c r="P11" i="2"/>
  <c r="P10" i="2"/>
  <c r="P9" i="2"/>
  <c r="P8" i="2"/>
  <c r="P7" i="2"/>
  <c r="P6" i="2"/>
  <c r="P5" i="2"/>
  <c r="P4" i="2"/>
  <c r="M11" i="2"/>
  <c r="M10" i="2"/>
  <c r="M9" i="2"/>
  <c r="M8" i="2"/>
  <c r="M7" i="2"/>
  <c r="M6" i="2"/>
  <c r="M5" i="2"/>
  <c r="M4" i="2"/>
  <c r="F15" i="4" l="1"/>
  <c r="A7" i="2"/>
  <c r="F7" i="2"/>
  <c r="G7" i="2"/>
  <c r="H7" i="2"/>
  <c r="I7" i="2"/>
  <c r="J7" i="2"/>
  <c r="K7" i="2"/>
  <c r="L7" i="2"/>
  <c r="N7" i="2"/>
  <c r="O7" i="2"/>
  <c r="A8" i="2"/>
  <c r="F8" i="2"/>
  <c r="G8" i="2"/>
  <c r="H8" i="2"/>
  <c r="I8" i="2"/>
  <c r="J8" i="2"/>
  <c r="K8" i="2"/>
  <c r="L8" i="2"/>
  <c r="N8" i="2"/>
  <c r="O8" i="2"/>
  <c r="A9" i="2"/>
  <c r="F9" i="2"/>
  <c r="G9" i="2"/>
  <c r="H9" i="2"/>
  <c r="I9" i="2"/>
  <c r="J9" i="2"/>
  <c r="K9" i="2"/>
  <c r="L9" i="2"/>
  <c r="N9" i="2"/>
  <c r="O9" i="2"/>
  <c r="A10" i="2"/>
  <c r="F10" i="2"/>
  <c r="G10" i="2"/>
  <c r="H10" i="2"/>
  <c r="I10" i="2"/>
  <c r="J10" i="2"/>
  <c r="K10" i="2"/>
  <c r="L10" i="2"/>
  <c r="N10" i="2"/>
  <c r="O10" i="2"/>
  <c r="A11" i="2"/>
  <c r="F11" i="2"/>
  <c r="G11" i="2"/>
  <c r="H11" i="2"/>
  <c r="I11" i="2"/>
  <c r="J11" i="2"/>
  <c r="K11" i="2"/>
  <c r="L11" i="2"/>
  <c r="N11" i="2"/>
  <c r="O11" i="2"/>
  <c r="D5" i="2"/>
  <c r="F6" i="2" l="1"/>
  <c r="A6" i="2"/>
  <c r="G6" i="2"/>
  <c r="H6" i="2"/>
  <c r="I6" i="2"/>
  <c r="J6" i="2"/>
  <c r="K6" i="2"/>
  <c r="L6" i="2"/>
  <c r="N6" i="2"/>
  <c r="O6" i="2"/>
  <c r="H4" i="2" l="1"/>
  <c r="P13" i="2"/>
  <c r="O13" i="2"/>
  <c r="N13" i="2"/>
  <c r="M13" i="2"/>
  <c r="L13" i="2"/>
  <c r="K13" i="2"/>
  <c r="J13" i="2"/>
  <c r="I13" i="2"/>
  <c r="H13" i="2"/>
  <c r="G13" i="2"/>
  <c r="F13" i="2"/>
  <c r="A13" i="2"/>
  <c r="A12" i="2"/>
  <c r="D3" i="2" l="1"/>
  <c r="O5" i="2"/>
  <c r="N5" i="2"/>
  <c r="L5" i="2"/>
  <c r="K5" i="2"/>
  <c r="J5" i="2"/>
  <c r="I5" i="2"/>
  <c r="H5" i="2"/>
  <c r="G5" i="2"/>
  <c r="F5" i="2"/>
  <c r="A5" i="2"/>
  <c r="O4" i="2"/>
  <c r="N4" i="2"/>
  <c r="L4" i="2"/>
  <c r="K4" i="2"/>
  <c r="J4" i="2"/>
  <c r="I4" i="2"/>
  <c r="I12" i="2" s="1"/>
  <c r="G4" i="2"/>
  <c r="A4" i="2"/>
  <c r="N12" i="2" l="1"/>
  <c r="N14" i="2" s="1"/>
  <c r="H12" i="2"/>
  <c r="H14" i="2" s="1"/>
  <c r="F12" i="2"/>
  <c r="F14" i="2" s="1"/>
  <c r="P12" i="2"/>
  <c r="P14" i="2" s="1"/>
  <c r="O12" i="2"/>
  <c r="O14" i="2" s="1"/>
  <c r="G12" i="2"/>
  <c r="G14" i="2" s="1"/>
  <c r="I14" i="2"/>
  <c r="M12" i="2"/>
  <c r="M14" i="2" s="1"/>
  <c r="K12" i="2"/>
  <c r="K14" i="2" s="1"/>
  <c r="L12" i="2"/>
  <c r="L14" i="2" s="1"/>
  <c r="J12" i="2"/>
  <c r="J14" i="2" s="1"/>
  <c r="F15" i="2" l="1"/>
</calcChain>
</file>

<file path=xl/sharedStrings.xml><?xml version="1.0" encoding="utf-8"?>
<sst xmlns="http://schemas.openxmlformats.org/spreadsheetml/2006/main" count="129" uniqueCount="33">
  <si>
    <t>Pos</t>
  </si>
  <si>
    <t>شکل آرماتور</t>
  </si>
  <si>
    <t>سایز</t>
  </si>
  <si>
    <t>طول</t>
  </si>
  <si>
    <t>تعداد</t>
  </si>
  <si>
    <t>سایز آرماتورها</t>
  </si>
  <si>
    <t>T8</t>
  </si>
  <si>
    <t>T10</t>
  </si>
  <si>
    <t>T12</t>
  </si>
  <si>
    <t>T14</t>
  </si>
  <si>
    <t>T16</t>
  </si>
  <si>
    <t>T18</t>
  </si>
  <si>
    <t>T20</t>
  </si>
  <si>
    <t>T25</t>
  </si>
  <si>
    <t>T28</t>
  </si>
  <si>
    <t>T32</t>
  </si>
  <si>
    <t>توضیحات</t>
  </si>
  <si>
    <t>جمع وزن آرماتورها (کیلوگرم)</t>
  </si>
  <si>
    <t>جمع کل (تن)</t>
  </si>
  <si>
    <t>NO</t>
  </si>
  <si>
    <t>Shape</t>
  </si>
  <si>
    <t>واحد</t>
  </si>
  <si>
    <t>cm</t>
  </si>
  <si>
    <t>T22</t>
  </si>
  <si>
    <t>آرماتور طولی در طول فونداسیون</t>
  </si>
  <si>
    <t>آرماتور طولی در عرض فونداسیون</t>
  </si>
  <si>
    <t>آرماتور عرضی</t>
  </si>
  <si>
    <t>لیستوفر 85 متری موت آباد</t>
  </si>
  <si>
    <t>فونداسیون</t>
  </si>
  <si>
    <t>ستون C1</t>
  </si>
  <si>
    <t>آرماتور طولی ستون C1</t>
  </si>
  <si>
    <t>ریشه ستون C1</t>
  </si>
  <si>
    <t>خاموت ستون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</si>
</sst>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sz val="11"/>
      <color theme="1"/>
      <name val="IRANSans"/>
      <family val="2"/>
    </font>
    <font>
      <sz val="11"/>
      <color theme="1"/>
      <name val="Vazir FD"/>
      <family val="2"/>
    </font>
    <font>
      <sz val="16"/>
      <color theme="1"/>
      <name val="Vazir FD"/>
      <family val="2"/>
    </font>
    <font>
      <sz val="11"/>
      <color theme="0"/>
      <name val="IRANSans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/>
    <xf numFmtId="0" fontId="1" fillId="0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/>
    <xf numFmtId="0" fontId="0" fillId="2" borderId="1" xfId="0" applyFill="1" applyBorder="1" applyAlignment="1">
      <alignment horizontal="center" vertical="center"/>
    </xf>
    <xf numFmtId="0" fontId="0" fillId="3" borderId="0" xfId="0" applyFill="1"/>
    <xf numFmtId="0" fontId="0" fillId="0" borderId="1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/>
    <xf numFmtId="0" fontId="2" fillId="2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/>
    <xf numFmtId="0" fontId="2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wrapText="1"/>
    </xf>
    <xf numFmtId="0" fontId="2" fillId="0" borderId="0" xfId="0" applyFont="1" applyAlignment="1">
      <alignment wrapText="1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readingOrder="2"/>
    </xf>
    <xf numFmtId="0" fontId="4" fillId="4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337039</xdr:colOff>
      <xdr:row>1</xdr:row>
      <xdr:rowOff>278423</xdr:rowOff>
    </xdr:from>
    <xdr:to>
      <xdr:col>1</xdr:col>
      <xdr:colOff>2058866</xdr:colOff>
      <xdr:row>1</xdr:row>
      <xdr:rowOff>498231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959339" y="545123"/>
          <a:ext cx="1721827" cy="219808"/>
          <a:chOff x="996462" y="1274884"/>
          <a:chExt cx="1721827" cy="219808"/>
        </a:xfrm>
      </xdr:grpSpPr>
      <xdr:cxnSp macro="">
        <xdr:nvCxnSpPr>
          <xdr:cNvPr id="3" name="Straight Connector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CxnSpPr/>
        </xdr:nvCxnSpPr>
        <xdr:spPr>
          <a:xfrm>
            <a:off x="996462" y="1494692"/>
            <a:ext cx="1721827" cy="0"/>
          </a:xfrm>
          <a:prstGeom prst="line">
            <a:avLst/>
          </a:prstGeom>
          <a:ln w="1905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1729156" y="1274884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768111</xdr:colOff>
      <xdr:row>14</xdr:row>
      <xdr:rowOff>29226</xdr:rowOff>
    </xdr:from>
    <xdr:to>
      <xdr:col>1</xdr:col>
      <xdr:colOff>1774389</xdr:colOff>
      <xdr:row>14</xdr:row>
      <xdr:rowOff>790867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390411" y="11351276"/>
          <a:ext cx="1006278" cy="761641"/>
          <a:chOff x="1266342" y="8022899"/>
          <a:chExt cx="1006278" cy="761641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GrpSpPr/>
        </xdr:nvGrpSpPr>
        <xdr:grpSpPr>
          <a:xfrm>
            <a:off x="1326173" y="8182869"/>
            <a:ext cx="857249" cy="418938"/>
            <a:chOff x="2993570" y="20764494"/>
            <a:chExt cx="1360715" cy="847650"/>
          </a:xfrm>
        </xdr:grpSpPr>
        <xdr:sp macro="" textlink="">
          <xdr:nvSpPr>
            <xdr:cNvPr id="11" name="Rectangle 83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/>
          </xdr:nvSpPr>
          <xdr:spPr>
            <a:xfrm>
              <a:off x="2993571" y="20764500"/>
              <a:ext cx="1360715" cy="847650"/>
            </a:xfrm>
            <a:custGeom>
              <a:avLst/>
              <a:gdLst>
                <a:gd name="connsiteX0" fmla="*/ 0 w 1364797"/>
                <a:gd name="connsiteY0" fmla="*/ 0 h 850501"/>
                <a:gd name="connsiteX1" fmla="*/ 1364797 w 1364797"/>
                <a:gd name="connsiteY1" fmla="*/ 0 h 850501"/>
                <a:gd name="connsiteX2" fmla="*/ 1364797 w 1364797"/>
                <a:gd name="connsiteY2" fmla="*/ 850501 h 850501"/>
                <a:gd name="connsiteX3" fmla="*/ 0 w 1364797"/>
                <a:gd name="connsiteY3" fmla="*/ 850501 h 850501"/>
                <a:gd name="connsiteX4" fmla="*/ 0 w 1364797"/>
                <a:gd name="connsiteY4" fmla="*/ 0 h 850501"/>
                <a:gd name="connsiteX0" fmla="*/ 0 w 1364797"/>
                <a:gd name="connsiteY0" fmla="*/ 0 h 850501"/>
                <a:gd name="connsiteX1" fmla="*/ 1364797 w 1364797"/>
                <a:gd name="connsiteY1" fmla="*/ 0 h 850501"/>
                <a:gd name="connsiteX2" fmla="*/ 1028700 w 1364797"/>
                <a:gd name="connsiteY2" fmla="*/ 840976 h 850501"/>
                <a:gd name="connsiteX3" fmla="*/ 0 w 1364797"/>
                <a:gd name="connsiteY3" fmla="*/ 850501 h 850501"/>
                <a:gd name="connsiteX4" fmla="*/ 0 w 1364797"/>
                <a:gd name="connsiteY4" fmla="*/ 0 h 850501"/>
                <a:gd name="connsiteX0" fmla="*/ 0 w 1364797"/>
                <a:gd name="connsiteY0" fmla="*/ 0 h 840976"/>
                <a:gd name="connsiteX1" fmla="*/ 1364797 w 1364797"/>
                <a:gd name="connsiteY1" fmla="*/ 0 h 840976"/>
                <a:gd name="connsiteX2" fmla="*/ 1028700 w 1364797"/>
                <a:gd name="connsiteY2" fmla="*/ 840976 h 840976"/>
                <a:gd name="connsiteX3" fmla="*/ 342900 w 1364797"/>
                <a:gd name="connsiteY3" fmla="*/ 840976 h 840976"/>
                <a:gd name="connsiteX4" fmla="*/ 0 w 1364797"/>
                <a:gd name="connsiteY4" fmla="*/ 0 h 84097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364797" h="840976">
                  <a:moveTo>
                    <a:pt x="0" y="0"/>
                  </a:moveTo>
                  <a:lnTo>
                    <a:pt x="1364797" y="0"/>
                  </a:lnTo>
                  <a:lnTo>
                    <a:pt x="1028700" y="840976"/>
                  </a:lnTo>
                  <a:lnTo>
                    <a:pt x="342900" y="840976"/>
                  </a:lnTo>
                  <a:lnTo>
                    <a:pt x="0" y="0"/>
                  </a:lnTo>
                  <a:close/>
                </a:path>
              </a:pathLst>
            </a:cu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2" name="Straight Connector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CxnSpPr/>
          </xdr:nvCxnSpPr>
          <xdr:spPr>
            <a:xfrm>
              <a:off x="3074794" y="20766101"/>
              <a:ext cx="278946" cy="244928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3" name="Straight Connector 12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CxnSpPr/>
          </xdr:nvCxnSpPr>
          <xdr:spPr>
            <a:xfrm>
              <a:off x="3015236" y="20842401"/>
              <a:ext cx="249938" cy="217714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1631056" y="8022899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1622264" y="8592934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 rot="17861323">
            <a:off x="2038435" y="8364334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 rot="3660189">
            <a:off x="1223763" y="8380370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827417</xdr:colOff>
      <xdr:row>13</xdr:row>
      <xdr:rowOff>153785</xdr:rowOff>
    </xdr:from>
    <xdr:to>
      <xdr:col>1</xdr:col>
      <xdr:colOff>1821278</xdr:colOff>
      <xdr:row>13</xdr:row>
      <xdr:rowOff>659422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1449717" y="10637635"/>
          <a:ext cx="993861" cy="505637"/>
          <a:chOff x="1325649" y="8909457"/>
          <a:chExt cx="993861" cy="505637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GrpSpPr/>
        </xdr:nvGrpSpPr>
        <xdr:grpSpPr>
          <a:xfrm>
            <a:off x="1325649" y="9091558"/>
            <a:ext cx="784505" cy="323536"/>
            <a:chOff x="2993571" y="20757697"/>
            <a:chExt cx="1360715" cy="864053"/>
          </a:xfrm>
        </xdr:grpSpPr>
        <xdr:sp macro="" textlink="">
          <xdr:nvSpPr>
            <xdr:cNvPr id="18" name="Rectangle 17"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SpPr/>
          </xdr:nvSpPr>
          <xdr:spPr>
            <a:xfrm>
              <a:off x="2993571" y="20764500"/>
              <a:ext cx="1360715" cy="857250"/>
            </a:xfrm>
            <a:prstGeom prst="rect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9" name="Straight Connector 18">
              <a:extLst>
                <a:ext uri="{FF2B5EF4-FFF2-40B4-BE49-F238E27FC236}">
                  <a16:creationId xmlns:a16="http://schemas.microsoft.com/office/drawing/2014/main" id="{00000000-0008-0000-0100-000013000000}"/>
                </a:ext>
              </a:extLst>
            </xdr:cNvPr>
            <xdr:cNvCxnSpPr/>
          </xdr:nvCxnSpPr>
          <xdr:spPr>
            <a:xfrm>
              <a:off x="3068411" y="20757697"/>
              <a:ext cx="278946" cy="244928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" name="Straight Connector 19">
              <a:extLst>
                <a:ext uri="{FF2B5EF4-FFF2-40B4-BE49-F238E27FC236}">
                  <a16:creationId xmlns:a16="http://schemas.microsoft.com/office/drawing/2014/main" id="{00000000-0008-0000-0100-000014000000}"/>
                </a:ext>
              </a:extLst>
            </xdr:cNvPr>
            <xdr:cNvCxnSpPr/>
          </xdr:nvCxnSpPr>
          <xdr:spPr>
            <a:xfrm>
              <a:off x="2993571" y="20867914"/>
              <a:ext cx="272143" cy="223157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>
            <a:off x="1623729" y="8909457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/>
        </xdr:nvSpPr>
        <xdr:spPr>
          <a:xfrm rot="16200000">
            <a:off x="2085325" y="9158572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754673</xdr:colOff>
      <xdr:row>16</xdr:row>
      <xdr:rowOff>73269</xdr:rowOff>
    </xdr:from>
    <xdr:to>
      <xdr:col>1</xdr:col>
      <xdr:colOff>1707173</xdr:colOff>
      <xdr:row>16</xdr:row>
      <xdr:rowOff>805962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pSpPr/>
      </xdr:nvGrpSpPr>
      <xdr:grpSpPr>
        <a:xfrm>
          <a:off x="1376973" y="13071719"/>
          <a:ext cx="952500" cy="732693"/>
          <a:chOff x="1333500" y="9693519"/>
          <a:chExt cx="906797" cy="725006"/>
        </a:xfrm>
      </xdr:grpSpPr>
      <xdr:sp macro="" textlink="">
        <xdr:nvSpPr>
          <xdr:cNvPr id="22" name="Freeform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1333500" y="9869365"/>
            <a:ext cx="795064" cy="337038"/>
          </a:xfrm>
          <a:custGeom>
            <a:avLst/>
            <a:gdLst>
              <a:gd name="connsiteX0" fmla="*/ 333375 w 1381125"/>
              <a:gd name="connsiteY0" fmla="*/ 0 h 590550"/>
              <a:gd name="connsiteX1" fmla="*/ 1381125 w 1381125"/>
              <a:gd name="connsiteY1" fmla="*/ 0 h 590550"/>
              <a:gd name="connsiteX2" fmla="*/ 1019175 w 1381125"/>
              <a:gd name="connsiteY2" fmla="*/ 590550 h 590550"/>
              <a:gd name="connsiteX3" fmla="*/ 0 w 1381125"/>
              <a:gd name="connsiteY3" fmla="*/ 571500 h 590550"/>
              <a:gd name="connsiteX0" fmla="*/ 333375 w 1562100"/>
              <a:gd name="connsiteY0" fmla="*/ 0 h 590550"/>
              <a:gd name="connsiteX1" fmla="*/ 1562100 w 1562100"/>
              <a:gd name="connsiteY1" fmla="*/ 9525 h 590550"/>
              <a:gd name="connsiteX2" fmla="*/ 1019175 w 1562100"/>
              <a:gd name="connsiteY2" fmla="*/ 590550 h 590550"/>
              <a:gd name="connsiteX3" fmla="*/ 0 w 1562100"/>
              <a:gd name="connsiteY3" fmla="*/ 571500 h 590550"/>
              <a:gd name="connsiteX0" fmla="*/ 333375 w 1371599"/>
              <a:gd name="connsiteY0" fmla="*/ 0 h 590550"/>
              <a:gd name="connsiteX1" fmla="*/ 1371599 w 1371599"/>
              <a:gd name="connsiteY1" fmla="*/ 0 h 590550"/>
              <a:gd name="connsiteX2" fmla="*/ 1019175 w 1371599"/>
              <a:gd name="connsiteY2" fmla="*/ 590550 h 590550"/>
              <a:gd name="connsiteX3" fmla="*/ 0 w 1371599"/>
              <a:gd name="connsiteY3" fmla="*/ 571500 h 590550"/>
              <a:gd name="connsiteX0" fmla="*/ 333375 w 1371599"/>
              <a:gd name="connsiteY0" fmla="*/ 0 h 571500"/>
              <a:gd name="connsiteX1" fmla="*/ 1371599 w 1371599"/>
              <a:gd name="connsiteY1" fmla="*/ 0 h 571500"/>
              <a:gd name="connsiteX2" fmla="*/ 1028700 w 1371599"/>
              <a:gd name="connsiteY2" fmla="*/ 571500 h 571500"/>
              <a:gd name="connsiteX3" fmla="*/ 0 w 1371599"/>
              <a:gd name="connsiteY3" fmla="*/ 571500 h 571500"/>
              <a:gd name="connsiteX0" fmla="*/ 342900 w 1371599"/>
              <a:gd name="connsiteY0" fmla="*/ 0 h 571500"/>
              <a:gd name="connsiteX1" fmla="*/ 1371599 w 1371599"/>
              <a:gd name="connsiteY1" fmla="*/ 0 h 571500"/>
              <a:gd name="connsiteX2" fmla="*/ 1028700 w 1371599"/>
              <a:gd name="connsiteY2" fmla="*/ 571500 h 571500"/>
              <a:gd name="connsiteX3" fmla="*/ 0 w 1371599"/>
              <a:gd name="connsiteY3" fmla="*/ 571500 h 571500"/>
              <a:gd name="connsiteX0" fmla="*/ 342900 w 1371599"/>
              <a:gd name="connsiteY0" fmla="*/ 0 h 571500"/>
              <a:gd name="connsiteX1" fmla="*/ 1371599 w 1371599"/>
              <a:gd name="connsiteY1" fmla="*/ 0 h 571500"/>
              <a:gd name="connsiteX2" fmla="*/ 1028700 w 1371599"/>
              <a:gd name="connsiteY2" fmla="*/ 571500 h 571500"/>
              <a:gd name="connsiteX3" fmla="*/ 0 w 1371599"/>
              <a:gd name="connsiteY3" fmla="*/ 571500 h 5715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371599" h="571500">
                <a:moveTo>
                  <a:pt x="342900" y="0"/>
                </a:moveTo>
                <a:lnTo>
                  <a:pt x="1371599" y="0"/>
                </a:lnTo>
                <a:lnTo>
                  <a:pt x="1028700" y="571500"/>
                </a:lnTo>
                <a:lnTo>
                  <a:pt x="0" y="57150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/>
        </xdr:nvSpPr>
        <xdr:spPr>
          <a:xfrm>
            <a:off x="1692520" y="9693519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1537189" y="10226919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 rot="17928552">
            <a:off x="2006112" y="9985129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542192</xdr:colOff>
      <xdr:row>20</xdr:row>
      <xdr:rowOff>165588</xdr:rowOff>
    </xdr:from>
    <xdr:to>
      <xdr:col>1</xdr:col>
      <xdr:colOff>1687931</xdr:colOff>
      <xdr:row>20</xdr:row>
      <xdr:rowOff>673717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pSpPr/>
      </xdr:nvGrpSpPr>
      <xdr:grpSpPr>
        <a:xfrm>
          <a:off x="1164492" y="16516838"/>
          <a:ext cx="1145739" cy="508129"/>
          <a:chOff x="1245577" y="11456377"/>
          <a:chExt cx="1145739" cy="508129"/>
        </a:xfrm>
      </xdr:grpSpPr>
      <xdr:sp macro="" textlink="">
        <xdr:nvSpPr>
          <xdr:cNvPr id="27" name="Freeform 26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1245577" y="11526159"/>
            <a:ext cx="1025769" cy="336130"/>
          </a:xfrm>
          <a:custGeom>
            <a:avLst/>
            <a:gdLst>
              <a:gd name="connsiteX0" fmla="*/ 1400175 w 1714500"/>
              <a:gd name="connsiteY0" fmla="*/ 0 h 609600"/>
              <a:gd name="connsiteX1" fmla="*/ 1714500 w 1714500"/>
              <a:gd name="connsiteY1" fmla="*/ 276225 h 609600"/>
              <a:gd name="connsiteX2" fmla="*/ 676275 w 1714500"/>
              <a:gd name="connsiteY2" fmla="*/ 609600 h 609600"/>
              <a:gd name="connsiteX3" fmla="*/ 0 w 1714500"/>
              <a:gd name="connsiteY3" fmla="*/ 581025 h 609600"/>
              <a:gd name="connsiteX0" fmla="*/ 1400175 w 1714500"/>
              <a:gd name="connsiteY0" fmla="*/ 0 h 581025"/>
              <a:gd name="connsiteX1" fmla="*/ 1714500 w 1714500"/>
              <a:gd name="connsiteY1" fmla="*/ 276225 h 581025"/>
              <a:gd name="connsiteX2" fmla="*/ 695325 w 1714500"/>
              <a:gd name="connsiteY2" fmla="*/ 571500 h 581025"/>
              <a:gd name="connsiteX3" fmla="*/ 0 w 1714500"/>
              <a:gd name="connsiteY3" fmla="*/ 581025 h 581025"/>
              <a:gd name="connsiteX0" fmla="*/ 1400175 w 1714500"/>
              <a:gd name="connsiteY0" fmla="*/ 0 h 581025"/>
              <a:gd name="connsiteX1" fmla="*/ 1714500 w 1714500"/>
              <a:gd name="connsiteY1" fmla="*/ 276225 h 581025"/>
              <a:gd name="connsiteX2" fmla="*/ 1038225 w 1714500"/>
              <a:gd name="connsiteY2" fmla="*/ 571501 h 581025"/>
              <a:gd name="connsiteX3" fmla="*/ 0 w 1714500"/>
              <a:gd name="connsiteY3" fmla="*/ 581025 h 5810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14500" h="581025">
                <a:moveTo>
                  <a:pt x="1400175" y="0"/>
                </a:moveTo>
                <a:lnTo>
                  <a:pt x="1714500" y="276225"/>
                </a:lnTo>
                <a:lnTo>
                  <a:pt x="1038225" y="571501"/>
                </a:lnTo>
                <a:lnTo>
                  <a:pt x="0" y="581025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/>
        </xdr:nvSpPr>
        <xdr:spPr>
          <a:xfrm>
            <a:off x="1399443" y="11693768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/>
        </xdr:nvSpPr>
        <xdr:spPr>
          <a:xfrm rot="20271415">
            <a:off x="1998786" y="11772900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/>
        </xdr:nvSpPr>
        <xdr:spPr>
          <a:xfrm rot="2620231">
            <a:off x="2114552" y="11456377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518746</xdr:colOff>
      <xdr:row>17</xdr:row>
      <xdr:rowOff>124557</xdr:rowOff>
    </xdr:from>
    <xdr:to>
      <xdr:col>1</xdr:col>
      <xdr:colOff>1859298</xdr:colOff>
      <xdr:row>17</xdr:row>
      <xdr:rowOff>739658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GrpSpPr/>
      </xdr:nvGrpSpPr>
      <xdr:grpSpPr>
        <a:xfrm>
          <a:off x="1141046" y="13961207"/>
          <a:ext cx="1340552" cy="615101"/>
          <a:chOff x="1126881" y="12250615"/>
          <a:chExt cx="1340552" cy="615101"/>
        </a:xfrm>
      </xdr:grpSpPr>
      <xdr:sp macro="" textlink="">
        <xdr:nvSpPr>
          <xdr:cNvPr id="32" name="Left Bracket 59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/>
        </xdr:nvSpPr>
        <xdr:spPr>
          <a:xfrm rot="5400000">
            <a:off x="1561137" y="12096248"/>
            <a:ext cx="365342" cy="1025767"/>
          </a:xfrm>
          <a:custGeom>
            <a:avLst/>
            <a:gdLst>
              <a:gd name="connsiteX0" fmla="*/ 285750 w 285750"/>
              <a:gd name="connsiteY0" fmla="*/ 1714500 h 1714500"/>
              <a:gd name="connsiteX1" fmla="*/ 0 w 285750"/>
              <a:gd name="connsiteY1" fmla="*/ 1714497 h 1714500"/>
              <a:gd name="connsiteX2" fmla="*/ 0 w 285750"/>
              <a:gd name="connsiteY2" fmla="*/ 3 h 1714500"/>
              <a:gd name="connsiteX3" fmla="*/ 285750 w 285750"/>
              <a:gd name="connsiteY3" fmla="*/ 0 h 1714500"/>
              <a:gd name="connsiteX4" fmla="*/ 285750 w 285750"/>
              <a:gd name="connsiteY4" fmla="*/ 1714500 h 1714500"/>
              <a:gd name="connsiteX0" fmla="*/ 285750 w 285750"/>
              <a:gd name="connsiteY0" fmla="*/ 1714500 h 1714500"/>
              <a:gd name="connsiteX1" fmla="*/ 0 w 285750"/>
              <a:gd name="connsiteY1" fmla="*/ 1714497 h 1714500"/>
              <a:gd name="connsiteX2" fmla="*/ 0 w 285750"/>
              <a:gd name="connsiteY2" fmla="*/ 3 h 1714500"/>
              <a:gd name="connsiteX3" fmla="*/ 285750 w 285750"/>
              <a:gd name="connsiteY3" fmla="*/ 0 h 1714500"/>
              <a:gd name="connsiteX0" fmla="*/ 285750 w 571500"/>
              <a:gd name="connsiteY0" fmla="*/ 1714500 h 1714500"/>
              <a:gd name="connsiteX1" fmla="*/ 0 w 571500"/>
              <a:gd name="connsiteY1" fmla="*/ 1714497 h 1714500"/>
              <a:gd name="connsiteX2" fmla="*/ 0 w 571500"/>
              <a:gd name="connsiteY2" fmla="*/ 3 h 1714500"/>
              <a:gd name="connsiteX3" fmla="*/ 285750 w 571500"/>
              <a:gd name="connsiteY3" fmla="*/ 0 h 1714500"/>
              <a:gd name="connsiteX4" fmla="*/ 285750 w 571500"/>
              <a:gd name="connsiteY4" fmla="*/ 1714500 h 1714500"/>
              <a:gd name="connsiteX0" fmla="*/ 571500 w 571500"/>
              <a:gd name="connsiteY0" fmla="*/ 1714500 h 1714500"/>
              <a:gd name="connsiteX1" fmla="*/ 0 w 571500"/>
              <a:gd name="connsiteY1" fmla="*/ 1714497 h 1714500"/>
              <a:gd name="connsiteX2" fmla="*/ 0 w 571500"/>
              <a:gd name="connsiteY2" fmla="*/ 3 h 1714500"/>
              <a:gd name="connsiteX3" fmla="*/ 285750 w 571500"/>
              <a:gd name="connsiteY3" fmla="*/ 0 h 1714500"/>
              <a:gd name="connsiteX0" fmla="*/ 285750 w 571500"/>
              <a:gd name="connsiteY0" fmla="*/ 1714500 h 1714500"/>
              <a:gd name="connsiteX1" fmla="*/ 0 w 571500"/>
              <a:gd name="connsiteY1" fmla="*/ 1714497 h 1714500"/>
              <a:gd name="connsiteX2" fmla="*/ 0 w 571500"/>
              <a:gd name="connsiteY2" fmla="*/ 3 h 1714500"/>
              <a:gd name="connsiteX3" fmla="*/ 285750 w 571500"/>
              <a:gd name="connsiteY3" fmla="*/ 0 h 1714500"/>
              <a:gd name="connsiteX4" fmla="*/ 285750 w 571500"/>
              <a:gd name="connsiteY4" fmla="*/ 1714500 h 1714500"/>
              <a:gd name="connsiteX0" fmla="*/ 571500 w 571500"/>
              <a:gd name="connsiteY0" fmla="*/ 1371600 h 1714500"/>
              <a:gd name="connsiteX1" fmla="*/ 0 w 571500"/>
              <a:gd name="connsiteY1" fmla="*/ 1714497 h 1714500"/>
              <a:gd name="connsiteX2" fmla="*/ 0 w 571500"/>
              <a:gd name="connsiteY2" fmla="*/ 3 h 1714500"/>
              <a:gd name="connsiteX3" fmla="*/ 285750 w 571500"/>
              <a:gd name="connsiteY3" fmla="*/ 0 h 1714500"/>
              <a:gd name="connsiteX0" fmla="*/ 304800 w 590550"/>
              <a:gd name="connsiteY0" fmla="*/ 1714500 h 1714500"/>
              <a:gd name="connsiteX1" fmla="*/ 19050 w 590550"/>
              <a:gd name="connsiteY1" fmla="*/ 1714497 h 1714500"/>
              <a:gd name="connsiteX2" fmla="*/ 19050 w 590550"/>
              <a:gd name="connsiteY2" fmla="*/ 3 h 1714500"/>
              <a:gd name="connsiteX3" fmla="*/ 304800 w 590550"/>
              <a:gd name="connsiteY3" fmla="*/ 0 h 1714500"/>
              <a:gd name="connsiteX4" fmla="*/ 304800 w 590550"/>
              <a:gd name="connsiteY4" fmla="*/ 1714500 h 1714500"/>
              <a:gd name="connsiteX0" fmla="*/ 590550 w 590550"/>
              <a:gd name="connsiteY0" fmla="*/ 1371600 h 1714500"/>
              <a:gd name="connsiteX1" fmla="*/ 19050 w 590550"/>
              <a:gd name="connsiteY1" fmla="*/ 1714497 h 1714500"/>
              <a:gd name="connsiteX2" fmla="*/ 0 w 590550"/>
              <a:gd name="connsiteY2" fmla="*/ 1504950 h 1714500"/>
              <a:gd name="connsiteX3" fmla="*/ 19050 w 590550"/>
              <a:gd name="connsiteY3" fmla="*/ 3 h 1714500"/>
              <a:gd name="connsiteX4" fmla="*/ 304800 w 590550"/>
              <a:gd name="connsiteY4" fmla="*/ 0 h 1714500"/>
              <a:gd name="connsiteX0" fmla="*/ 304800 w 590550"/>
              <a:gd name="connsiteY0" fmla="*/ 1714500 h 1714500"/>
              <a:gd name="connsiteX1" fmla="*/ 19050 w 590550"/>
              <a:gd name="connsiteY1" fmla="*/ 1714497 h 1714500"/>
              <a:gd name="connsiteX2" fmla="*/ 19050 w 590550"/>
              <a:gd name="connsiteY2" fmla="*/ 3 h 1714500"/>
              <a:gd name="connsiteX3" fmla="*/ 304800 w 590550"/>
              <a:gd name="connsiteY3" fmla="*/ 0 h 1714500"/>
              <a:gd name="connsiteX4" fmla="*/ 304800 w 590550"/>
              <a:gd name="connsiteY4" fmla="*/ 1714500 h 1714500"/>
              <a:gd name="connsiteX0" fmla="*/ 590550 w 590550"/>
              <a:gd name="connsiteY0" fmla="*/ 1371600 h 1714500"/>
              <a:gd name="connsiteX1" fmla="*/ 304800 w 590550"/>
              <a:gd name="connsiteY1" fmla="*/ 1714500 h 1714500"/>
              <a:gd name="connsiteX2" fmla="*/ 0 w 590550"/>
              <a:gd name="connsiteY2" fmla="*/ 1504950 h 1714500"/>
              <a:gd name="connsiteX3" fmla="*/ 19050 w 590550"/>
              <a:gd name="connsiteY3" fmla="*/ 3 h 1714500"/>
              <a:gd name="connsiteX4" fmla="*/ 304800 w 590550"/>
              <a:gd name="connsiteY4" fmla="*/ 0 h 1714500"/>
              <a:gd name="connsiteX0" fmla="*/ 285750 w 571500"/>
              <a:gd name="connsiteY0" fmla="*/ 1714500 h 1714500"/>
              <a:gd name="connsiteX1" fmla="*/ 0 w 571500"/>
              <a:gd name="connsiteY1" fmla="*/ 1714497 h 1714500"/>
              <a:gd name="connsiteX2" fmla="*/ 0 w 571500"/>
              <a:gd name="connsiteY2" fmla="*/ 3 h 1714500"/>
              <a:gd name="connsiteX3" fmla="*/ 285750 w 571500"/>
              <a:gd name="connsiteY3" fmla="*/ 0 h 1714500"/>
              <a:gd name="connsiteX4" fmla="*/ 285750 w 571500"/>
              <a:gd name="connsiteY4" fmla="*/ 1714500 h 1714500"/>
              <a:gd name="connsiteX0" fmla="*/ 571500 w 571500"/>
              <a:gd name="connsiteY0" fmla="*/ 1371600 h 1714500"/>
              <a:gd name="connsiteX1" fmla="*/ 285750 w 571500"/>
              <a:gd name="connsiteY1" fmla="*/ 1714500 h 1714500"/>
              <a:gd name="connsiteX2" fmla="*/ 0 w 571500"/>
              <a:gd name="connsiteY2" fmla="*/ 1714500 h 1714500"/>
              <a:gd name="connsiteX3" fmla="*/ 0 w 571500"/>
              <a:gd name="connsiteY3" fmla="*/ 3 h 1714500"/>
              <a:gd name="connsiteX4" fmla="*/ 285750 w 571500"/>
              <a:gd name="connsiteY4" fmla="*/ 0 h 17145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571500" h="1714500" stroke="0" extrusionOk="0">
                <a:moveTo>
                  <a:pt x="285750" y="1714500"/>
                </a:moveTo>
                <a:lnTo>
                  <a:pt x="0" y="1714497"/>
                </a:lnTo>
                <a:lnTo>
                  <a:pt x="0" y="3"/>
                </a:lnTo>
                <a:cubicBezTo>
                  <a:pt x="0" y="1"/>
                  <a:pt x="127935" y="0"/>
                  <a:pt x="285750" y="0"/>
                </a:cubicBezTo>
                <a:lnTo>
                  <a:pt x="285750" y="1714500"/>
                </a:lnTo>
                <a:close/>
              </a:path>
              <a:path w="571500" h="1714500" fill="none">
                <a:moveTo>
                  <a:pt x="571500" y="1371600"/>
                </a:moveTo>
                <a:lnTo>
                  <a:pt x="285750" y="1714500"/>
                </a:lnTo>
                <a:lnTo>
                  <a:pt x="0" y="1714500"/>
                </a:lnTo>
                <a:lnTo>
                  <a:pt x="0" y="3"/>
                </a:lnTo>
                <a:cubicBezTo>
                  <a:pt x="0" y="1"/>
                  <a:pt x="127935" y="0"/>
                  <a:pt x="285750" y="0"/>
                </a:cubicBezTo>
              </a:path>
            </a:pathLst>
          </a:custGeom>
          <a:ln w="1905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" name="Rectangle 32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/>
        </xdr:nvSpPr>
        <xdr:spPr>
          <a:xfrm>
            <a:off x="1685194" y="12250615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/>
        </xdr:nvSpPr>
        <xdr:spPr>
          <a:xfrm rot="2474675">
            <a:off x="1126881" y="12674110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SpPr/>
        </xdr:nvSpPr>
        <xdr:spPr>
          <a:xfrm rot="16200000">
            <a:off x="2233248" y="12417669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433839</xdr:colOff>
      <xdr:row>18</xdr:row>
      <xdr:rowOff>93783</xdr:rowOff>
    </xdr:from>
    <xdr:to>
      <xdr:col>1</xdr:col>
      <xdr:colOff>1853712</xdr:colOff>
      <xdr:row>18</xdr:row>
      <xdr:rowOff>760089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GrpSpPr/>
      </xdr:nvGrpSpPr>
      <xdr:grpSpPr>
        <a:xfrm>
          <a:off x="1056139" y="14768633"/>
          <a:ext cx="1419873" cy="666306"/>
          <a:chOff x="998012" y="13121053"/>
          <a:chExt cx="1419873" cy="666306"/>
        </a:xfrm>
      </xdr:grpSpPr>
      <xdr:sp macro="" textlink="">
        <xdr:nvSpPr>
          <xdr:cNvPr id="37" name="Freeform 36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/>
        </xdr:nvSpPr>
        <xdr:spPr>
          <a:xfrm>
            <a:off x="1201617" y="13298365"/>
            <a:ext cx="1216268" cy="305103"/>
          </a:xfrm>
          <a:custGeom>
            <a:avLst/>
            <a:gdLst>
              <a:gd name="connsiteX0" fmla="*/ 676275 w 2390775"/>
              <a:gd name="connsiteY0" fmla="*/ 533400 h 1133475"/>
              <a:gd name="connsiteX1" fmla="*/ 19050 w 2390775"/>
              <a:gd name="connsiteY1" fmla="*/ 542925 h 1133475"/>
              <a:gd name="connsiteX2" fmla="*/ 0 w 2390775"/>
              <a:gd name="connsiteY2" fmla="*/ 1133475 h 1133475"/>
              <a:gd name="connsiteX3" fmla="*/ 1371600 w 2390775"/>
              <a:gd name="connsiteY3" fmla="*/ 1104900 h 1133475"/>
              <a:gd name="connsiteX4" fmla="*/ 2390775 w 2390775"/>
              <a:gd name="connsiteY4" fmla="*/ 0 h 1133475"/>
              <a:gd name="connsiteX0" fmla="*/ 676275 w 2390775"/>
              <a:gd name="connsiteY0" fmla="*/ 533400 h 1133475"/>
              <a:gd name="connsiteX1" fmla="*/ 19050 w 2390775"/>
              <a:gd name="connsiteY1" fmla="*/ 542925 h 1133475"/>
              <a:gd name="connsiteX2" fmla="*/ 0 w 2390775"/>
              <a:gd name="connsiteY2" fmla="*/ 1133475 h 1133475"/>
              <a:gd name="connsiteX3" fmla="*/ 1371600 w 2390775"/>
              <a:gd name="connsiteY3" fmla="*/ 1104900 h 1133475"/>
              <a:gd name="connsiteX4" fmla="*/ 1981200 w 2390775"/>
              <a:gd name="connsiteY4" fmla="*/ 428625 h 1133475"/>
              <a:gd name="connsiteX5" fmla="*/ 2390775 w 2390775"/>
              <a:gd name="connsiteY5" fmla="*/ 0 h 1133475"/>
              <a:gd name="connsiteX0" fmla="*/ 342900 w 2390775"/>
              <a:gd name="connsiteY0" fmla="*/ 533400 h 1133475"/>
              <a:gd name="connsiteX1" fmla="*/ 19050 w 2390775"/>
              <a:gd name="connsiteY1" fmla="*/ 542925 h 1133475"/>
              <a:gd name="connsiteX2" fmla="*/ 0 w 2390775"/>
              <a:gd name="connsiteY2" fmla="*/ 1133475 h 1133475"/>
              <a:gd name="connsiteX3" fmla="*/ 1371600 w 2390775"/>
              <a:gd name="connsiteY3" fmla="*/ 1104900 h 1133475"/>
              <a:gd name="connsiteX4" fmla="*/ 1981200 w 2390775"/>
              <a:gd name="connsiteY4" fmla="*/ 428625 h 1133475"/>
              <a:gd name="connsiteX5" fmla="*/ 2390775 w 2390775"/>
              <a:gd name="connsiteY5" fmla="*/ 0 h 1133475"/>
              <a:gd name="connsiteX0" fmla="*/ 342900 w 2390775"/>
              <a:gd name="connsiteY0" fmla="*/ 533400 h 1133475"/>
              <a:gd name="connsiteX1" fmla="*/ 0 w 2390775"/>
              <a:gd name="connsiteY1" fmla="*/ 819150 h 1133475"/>
              <a:gd name="connsiteX2" fmla="*/ 0 w 2390775"/>
              <a:gd name="connsiteY2" fmla="*/ 1133475 h 1133475"/>
              <a:gd name="connsiteX3" fmla="*/ 1371600 w 2390775"/>
              <a:gd name="connsiteY3" fmla="*/ 1104900 h 1133475"/>
              <a:gd name="connsiteX4" fmla="*/ 1981200 w 2390775"/>
              <a:gd name="connsiteY4" fmla="*/ 428625 h 1133475"/>
              <a:gd name="connsiteX5" fmla="*/ 2390775 w 2390775"/>
              <a:gd name="connsiteY5" fmla="*/ 0 h 1133475"/>
              <a:gd name="connsiteX0" fmla="*/ 342900 w 2390775"/>
              <a:gd name="connsiteY0" fmla="*/ 819150 h 1133475"/>
              <a:gd name="connsiteX1" fmla="*/ 0 w 2390775"/>
              <a:gd name="connsiteY1" fmla="*/ 819150 h 1133475"/>
              <a:gd name="connsiteX2" fmla="*/ 0 w 2390775"/>
              <a:gd name="connsiteY2" fmla="*/ 1133475 h 1133475"/>
              <a:gd name="connsiteX3" fmla="*/ 1371600 w 2390775"/>
              <a:gd name="connsiteY3" fmla="*/ 1104900 h 1133475"/>
              <a:gd name="connsiteX4" fmla="*/ 1981200 w 2390775"/>
              <a:gd name="connsiteY4" fmla="*/ 428625 h 1133475"/>
              <a:gd name="connsiteX5" fmla="*/ 2390775 w 2390775"/>
              <a:gd name="connsiteY5" fmla="*/ 0 h 1133475"/>
              <a:gd name="connsiteX0" fmla="*/ 342900 w 2390775"/>
              <a:gd name="connsiteY0" fmla="*/ 819150 h 1133475"/>
              <a:gd name="connsiteX1" fmla="*/ 0 w 2390775"/>
              <a:gd name="connsiteY1" fmla="*/ 533400 h 1133475"/>
              <a:gd name="connsiteX2" fmla="*/ 0 w 2390775"/>
              <a:gd name="connsiteY2" fmla="*/ 1133475 h 1133475"/>
              <a:gd name="connsiteX3" fmla="*/ 1371600 w 2390775"/>
              <a:gd name="connsiteY3" fmla="*/ 1104900 h 1133475"/>
              <a:gd name="connsiteX4" fmla="*/ 1981200 w 2390775"/>
              <a:gd name="connsiteY4" fmla="*/ 428625 h 1133475"/>
              <a:gd name="connsiteX5" fmla="*/ 2390775 w 2390775"/>
              <a:gd name="connsiteY5" fmla="*/ 0 h 1133475"/>
              <a:gd name="connsiteX0" fmla="*/ 342900 w 2390775"/>
              <a:gd name="connsiteY0" fmla="*/ 533400 h 1133475"/>
              <a:gd name="connsiteX1" fmla="*/ 0 w 2390775"/>
              <a:gd name="connsiteY1" fmla="*/ 533400 h 1133475"/>
              <a:gd name="connsiteX2" fmla="*/ 0 w 2390775"/>
              <a:gd name="connsiteY2" fmla="*/ 1133475 h 1133475"/>
              <a:gd name="connsiteX3" fmla="*/ 1371600 w 2390775"/>
              <a:gd name="connsiteY3" fmla="*/ 1104900 h 1133475"/>
              <a:gd name="connsiteX4" fmla="*/ 1981200 w 2390775"/>
              <a:gd name="connsiteY4" fmla="*/ 428625 h 1133475"/>
              <a:gd name="connsiteX5" fmla="*/ 2390775 w 2390775"/>
              <a:gd name="connsiteY5" fmla="*/ 0 h 1133475"/>
              <a:gd name="connsiteX0" fmla="*/ 342900 w 2390775"/>
              <a:gd name="connsiteY0" fmla="*/ 533400 h 1104900"/>
              <a:gd name="connsiteX1" fmla="*/ 0 w 2390775"/>
              <a:gd name="connsiteY1" fmla="*/ 533400 h 1104900"/>
              <a:gd name="connsiteX2" fmla="*/ 0 w 2390775"/>
              <a:gd name="connsiteY2" fmla="*/ 1104900 h 1104900"/>
              <a:gd name="connsiteX3" fmla="*/ 1371600 w 2390775"/>
              <a:gd name="connsiteY3" fmla="*/ 1104900 h 1104900"/>
              <a:gd name="connsiteX4" fmla="*/ 1981200 w 2390775"/>
              <a:gd name="connsiteY4" fmla="*/ 428625 h 1104900"/>
              <a:gd name="connsiteX5" fmla="*/ 2390775 w 2390775"/>
              <a:gd name="connsiteY5" fmla="*/ 0 h 1104900"/>
              <a:gd name="connsiteX0" fmla="*/ 342900 w 2390775"/>
              <a:gd name="connsiteY0" fmla="*/ 533400 h 1104900"/>
              <a:gd name="connsiteX1" fmla="*/ 0 w 2390775"/>
              <a:gd name="connsiteY1" fmla="*/ 533400 h 1104900"/>
              <a:gd name="connsiteX2" fmla="*/ 0 w 2390775"/>
              <a:gd name="connsiteY2" fmla="*/ 1104900 h 1104900"/>
              <a:gd name="connsiteX3" fmla="*/ 1371600 w 2390775"/>
              <a:gd name="connsiteY3" fmla="*/ 1104900 h 1104900"/>
              <a:gd name="connsiteX4" fmla="*/ 1981200 w 2390775"/>
              <a:gd name="connsiteY4" fmla="*/ 428625 h 1104900"/>
              <a:gd name="connsiteX5" fmla="*/ 2390775 w 2390775"/>
              <a:gd name="connsiteY5" fmla="*/ 0 h 1104900"/>
              <a:gd name="connsiteX0" fmla="*/ 342900 w 2390775"/>
              <a:gd name="connsiteY0" fmla="*/ 533400 h 1104900"/>
              <a:gd name="connsiteX1" fmla="*/ 0 w 2390775"/>
              <a:gd name="connsiteY1" fmla="*/ 533400 h 1104900"/>
              <a:gd name="connsiteX2" fmla="*/ 0 w 2390775"/>
              <a:gd name="connsiteY2" fmla="*/ 1104900 h 1104900"/>
              <a:gd name="connsiteX3" fmla="*/ 1371600 w 2390775"/>
              <a:gd name="connsiteY3" fmla="*/ 1104900 h 1104900"/>
              <a:gd name="connsiteX4" fmla="*/ 2057400 w 2390775"/>
              <a:gd name="connsiteY4" fmla="*/ 533400 h 1104900"/>
              <a:gd name="connsiteX5" fmla="*/ 2390775 w 2390775"/>
              <a:gd name="connsiteY5" fmla="*/ 0 h 1104900"/>
              <a:gd name="connsiteX0" fmla="*/ 342900 w 2743200"/>
              <a:gd name="connsiteY0" fmla="*/ 0 h 571500"/>
              <a:gd name="connsiteX1" fmla="*/ 0 w 2743200"/>
              <a:gd name="connsiteY1" fmla="*/ 0 h 571500"/>
              <a:gd name="connsiteX2" fmla="*/ 0 w 2743200"/>
              <a:gd name="connsiteY2" fmla="*/ 571500 h 571500"/>
              <a:gd name="connsiteX3" fmla="*/ 1371600 w 2743200"/>
              <a:gd name="connsiteY3" fmla="*/ 571500 h 571500"/>
              <a:gd name="connsiteX4" fmla="*/ 2057400 w 2743200"/>
              <a:gd name="connsiteY4" fmla="*/ 0 h 571500"/>
              <a:gd name="connsiteX5" fmla="*/ 2743200 w 2743200"/>
              <a:gd name="connsiteY5" fmla="*/ 0 h 571500"/>
              <a:gd name="connsiteX0" fmla="*/ 342900 w 2743200"/>
              <a:gd name="connsiteY0" fmla="*/ 0 h 571500"/>
              <a:gd name="connsiteX1" fmla="*/ 0 w 2743200"/>
              <a:gd name="connsiteY1" fmla="*/ 0 h 571500"/>
              <a:gd name="connsiteX2" fmla="*/ 0 w 2743200"/>
              <a:gd name="connsiteY2" fmla="*/ 571500 h 571500"/>
              <a:gd name="connsiteX3" fmla="*/ 1028699 w 2743200"/>
              <a:gd name="connsiteY3" fmla="*/ 571500 h 571500"/>
              <a:gd name="connsiteX4" fmla="*/ 2057400 w 2743200"/>
              <a:gd name="connsiteY4" fmla="*/ 0 h 571500"/>
              <a:gd name="connsiteX5" fmla="*/ 2743200 w 2743200"/>
              <a:gd name="connsiteY5" fmla="*/ 0 h 571500"/>
              <a:gd name="connsiteX0" fmla="*/ 342900 w 2743200"/>
              <a:gd name="connsiteY0" fmla="*/ 0 h 571500"/>
              <a:gd name="connsiteX1" fmla="*/ 0 w 2743200"/>
              <a:gd name="connsiteY1" fmla="*/ 0 h 571500"/>
              <a:gd name="connsiteX2" fmla="*/ 0 w 2743200"/>
              <a:gd name="connsiteY2" fmla="*/ 571500 h 571500"/>
              <a:gd name="connsiteX3" fmla="*/ 1028699 w 2743200"/>
              <a:gd name="connsiteY3" fmla="*/ 571500 h 571500"/>
              <a:gd name="connsiteX4" fmla="*/ 1714499 w 2743200"/>
              <a:gd name="connsiteY4" fmla="*/ 0 h 571500"/>
              <a:gd name="connsiteX5" fmla="*/ 2743200 w 2743200"/>
              <a:gd name="connsiteY5" fmla="*/ 0 h 571500"/>
              <a:gd name="connsiteX0" fmla="*/ 342900 w 2057399"/>
              <a:gd name="connsiteY0" fmla="*/ 0 h 571500"/>
              <a:gd name="connsiteX1" fmla="*/ 0 w 2057399"/>
              <a:gd name="connsiteY1" fmla="*/ 0 h 571500"/>
              <a:gd name="connsiteX2" fmla="*/ 0 w 2057399"/>
              <a:gd name="connsiteY2" fmla="*/ 571500 h 571500"/>
              <a:gd name="connsiteX3" fmla="*/ 1028699 w 2057399"/>
              <a:gd name="connsiteY3" fmla="*/ 571500 h 571500"/>
              <a:gd name="connsiteX4" fmla="*/ 1714499 w 2057399"/>
              <a:gd name="connsiteY4" fmla="*/ 0 h 571500"/>
              <a:gd name="connsiteX5" fmla="*/ 2057399 w 2057399"/>
              <a:gd name="connsiteY5" fmla="*/ 0 h 571500"/>
              <a:gd name="connsiteX0" fmla="*/ 342900 w 2057399"/>
              <a:gd name="connsiteY0" fmla="*/ 0 h 571500"/>
              <a:gd name="connsiteX1" fmla="*/ 0 w 2057399"/>
              <a:gd name="connsiteY1" fmla="*/ 0 h 571500"/>
              <a:gd name="connsiteX2" fmla="*/ 0 w 2057399"/>
              <a:gd name="connsiteY2" fmla="*/ 571500 h 571500"/>
              <a:gd name="connsiteX3" fmla="*/ 685800 w 2057399"/>
              <a:gd name="connsiteY3" fmla="*/ 571500 h 571500"/>
              <a:gd name="connsiteX4" fmla="*/ 1714499 w 2057399"/>
              <a:gd name="connsiteY4" fmla="*/ 0 h 571500"/>
              <a:gd name="connsiteX5" fmla="*/ 2057399 w 2057399"/>
              <a:gd name="connsiteY5" fmla="*/ 0 h 571500"/>
              <a:gd name="connsiteX0" fmla="*/ 342900 w 2057399"/>
              <a:gd name="connsiteY0" fmla="*/ 0 h 571500"/>
              <a:gd name="connsiteX1" fmla="*/ 0 w 2057399"/>
              <a:gd name="connsiteY1" fmla="*/ 0 h 571500"/>
              <a:gd name="connsiteX2" fmla="*/ 0 w 2057399"/>
              <a:gd name="connsiteY2" fmla="*/ 571500 h 571500"/>
              <a:gd name="connsiteX3" fmla="*/ 685800 w 2057399"/>
              <a:gd name="connsiteY3" fmla="*/ 571500 h 571500"/>
              <a:gd name="connsiteX4" fmla="*/ 1371600 w 2057399"/>
              <a:gd name="connsiteY4" fmla="*/ 0 h 571500"/>
              <a:gd name="connsiteX5" fmla="*/ 2057399 w 2057399"/>
              <a:gd name="connsiteY5" fmla="*/ 0 h 5715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2057399" h="571500">
                <a:moveTo>
                  <a:pt x="342900" y="0"/>
                </a:moveTo>
                <a:lnTo>
                  <a:pt x="0" y="0"/>
                </a:lnTo>
                <a:lnTo>
                  <a:pt x="0" y="571500"/>
                </a:lnTo>
                <a:lnTo>
                  <a:pt x="685800" y="571500"/>
                </a:lnTo>
                <a:lnTo>
                  <a:pt x="1371600" y="0"/>
                </a:lnTo>
                <a:lnTo>
                  <a:pt x="2057399" y="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Rectangle 37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SpPr/>
        </xdr:nvSpPr>
        <xdr:spPr>
          <a:xfrm>
            <a:off x="1164981" y="13122519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/>
        </xdr:nvSpPr>
        <xdr:spPr>
          <a:xfrm>
            <a:off x="2064727" y="13121053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SpPr/>
        </xdr:nvSpPr>
        <xdr:spPr>
          <a:xfrm rot="19267890">
            <a:off x="1616321" y="13273452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SpPr/>
        </xdr:nvSpPr>
        <xdr:spPr>
          <a:xfrm rot="5400000">
            <a:off x="955433" y="13389217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42" name="Rectangle 41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1254455" y="13595753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381002</xdr:colOff>
      <xdr:row>19</xdr:row>
      <xdr:rowOff>140594</xdr:rowOff>
    </xdr:from>
    <xdr:to>
      <xdr:col>1</xdr:col>
      <xdr:colOff>1919655</xdr:colOff>
      <xdr:row>19</xdr:row>
      <xdr:rowOff>659424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pSpPr/>
      </xdr:nvGrpSpPr>
      <xdr:grpSpPr>
        <a:xfrm>
          <a:off x="1003302" y="15653644"/>
          <a:ext cx="1538653" cy="518830"/>
          <a:chOff x="989137" y="13937190"/>
          <a:chExt cx="1538653" cy="518830"/>
        </a:xfrm>
      </xdr:grpSpPr>
      <xdr:sp macro="" textlink="">
        <xdr:nvSpPr>
          <xdr:cNvPr id="44" name="Freeform 43">
            <a:extLst>
              <a:ext uri="{FF2B5EF4-FFF2-40B4-BE49-F238E27FC236}">
                <a16:creationId xmlns:a16="http://schemas.microsoft.com/office/drawing/2014/main" id="{00000000-0008-0000-0100-00002C000000}"/>
              </a:ext>
            </a:extLst>
          </xdr:cNvPr>
          <xdr:cNvSpPr/>
        </xdr:nvSpPr>
        <xdr:spPr>
          <a:xfrm>
            <a:off x="1194289" y="13944835"/>
            <a:ext cx="1121019" cy="467221"/>
          </a:xfrm>
          <a:custGeom>
            <a:avLst/>
            <a:gdLst>
              <a:gd name="connsiteX0" fmla="*/ 1362075 w 1390650"/>
              <a:gd name="connsiteY0" fmla="*/ 0 h 876300"/>
              <a:gd name="connsiteX1" fmla="*/ 1390650 w 1390650"/>
              <a:gd name="connsiteY1" fmla="*/ 333375 h 876300"/>
              <a:gd name="connsiteX2" fmla="*/ 0 w 1390650"/>
              <a:gd name="connsiteY2" fmla="*/ 314325 h 876300"/>
              <a:gd name="connsiteX3" fmla="*/ 0 w 1390650"/>
              <a:gd name="connsiteY3" fmla="*/ 876300 h 876300"/>
              <a:gd name="connsiteX4" fmla="*/ 1362075 w 1390650"/>
              <a:gd name="connsiteY4" fmla="*/ 866775 h 876300"/>
              <a:gd name="connsiteX5" fmla="*/ 1362075 w 1390650"/>
              <a:gd name="connsiteY5" fmla="*/ 571500 h 876300"/>
              <a:gd name="connsiteX0" fmla="*/ 1362075 w 1371600"/>
              <a:gd name="connsiteY0" fmla="*/ 0 h 876300"/>
              <a:gd name="connsiteX1" fmla="*/ 1371600 w 1371600"/>
              <a:gd name="connsiteY1" fmla="*/ 295275 h 876300"/>
              <a:gd name="connsiteX2" fmla="*/ 0 w 1371600"/>
              <a:gd name="connsiteY2" fmla="*/ 314325 h 876300"/>
              <a:gd name="connsiteX3" fmla="*/ 0 w 1371600"/>
              <a:gd name="connsiteY3" fmla="*/ 876300 h 876300"/>
              <a:gd name="connsiteX4" fmla="*/ 1362075 w 1371600"/>
              <a:gd name="connsiteY4" fmla="*/ 866775 h 876300"/>
              <a:gd name="connsiteX5" fmla="*/ 1362075 w 1371600"/>
              <a:gd name="connsiteY5" fmla="*/ 571500 h 876300"/>
              <a:gd name="connsiteX0" fmla="*/ 1371600 w 1371600"/>
              <a:gd name="connsiteY0" fmla="*/ 0 h 866775"/>
              <a:gd name="connsiteX1" fmla="*/ 1371600 w 1371600"/>
              <a:gd name="connsiteY1" fmla="*/ 285750 h 866775"/>
              <a:gd name="connsiteX2" fmla="*/ 0 w 1371600"/>
              <a:gd name="connsiteY2" fmla="*/ 304800 h 866775"/>
              <a:gd name="connsiteX3" fmla="*/ 0 w 1371600"/>
              <a:gd name="connsiteY3" fmla="*/ 866775 h 866775"/>
              <a:gd name="connsiteX4" fmla="*/ 1362075 w 1371600"/>
              <a:gd name="connsiteY4" fmla="*/ 857250 h 866775"/>
              <a:gd name="connsiteX5" fmla="*/ 1362075 w 1371600"/>
              <a:gd name="connsiteY5" fmla="*/ 561975 h 866775"/>
              <a:gd name="connsiteX0" fmla="*/ 1371600 w 1371600"/>
              <a:gd name="connsiteY0" fmla="*/ 0 h 866775"/>
              <a:gd name="connsiteX1" fmla="*/ 1371600 w 1371600"/>
              <a:gd name="connsiteY1" fmla="*/ 285750 h 866775"/>
              <a:gd name="connsiteX2" fmla="*/ 0 w 1371600"/>
              <a:gd name="connsiteY2" fmla="*/ 304800 h 866775"/>
              <a:gd name="connsiteX3" fmla="*/ 0 w 1371600"/>
              <a:gd name="connsiteY3" fmla="*/ 866775 h 866775"/>
              <a:gd name="connsiteX4" fmla="*/ 1362075 w 1371600"/>
              <a:gd name="connsiteY4" fmla="*/ 857250 h 866775"/>
              <a:gd name="connsiteX5" fmla="*/ 1371600 w 1371600"/>
              <a:gd name="connsiteY5" fmla="*/ 571500 h 866775"/>
              <a:gd name="connsiteX0" fmla="*/ 1371600 w 1371600"/>
              <a:gd name="connsiteY0" fmla="*/ 0 h 866775"/>
              <a:gd name="connsiteX1" fmla="*/ 1371600 w 1371600"/>
              <a:gd name="connsiteY1" fmla="*/ 285750 h 866775"/>
              <a:gd name="connsiteX2" fmla="*/ 0 w 1371600"/>
              <a:gd name="connsiteY2" fmla="*/ 304800 h 866775"/>
              <a:gd name="connsiteX3" fmla="*/ 0 w 1371600"/>
              <a:gd name="connsiteY3" fmla="*/ 866775 h 866775"/>
              <a:gd name="connsiteX4" fmla="*/ 1371600 w 1371600"/>
              <a:gd name="connsiteY4" fmla="*/ 857250 h 866775"/>
              <a:gd name="connsiteX5" fmla="*/ 1371600 w 1371600"/>
              <a:gd name="connsiteY5" fmla="*/ 571500 h 866775"/>
              <a:gd name="connsiteX0" fmla="*/ 1371600 w 1371600"/>
              <a:gd name="connsiteY0" fmla="*/ 0 h 857250"/>
              <a:gd name="connsiteX1" fmla="*/ 1371600 w 1371600"/>
              <a:gd name="connsiteY1" fmla="*/ 285750 h 857250"/>
              <a:gd name="connsiteX2" fmla="*/ 0 w 1371600"/>
              <a:gd name="connsiteY2" fmla="*/ 304800 h 857250"/>
              <a:gd name="connsiteX3" fmla="*/ 0 w 1371600"/>
              <a:gd name="connsiteY3" fmla="*/ 857250 h 857250"/>
              <a:gd name="connsiteX4" fmla="*/ 1371600 w 1371600"/>
              <a:gd name="connsiteY4" fmla="*/ 857250 h 857250"/>
              <a:gd name="connsiteX5" fmla="*/ 1371600 w 1371600"/>
              <a:gd name="connsiteY5" fmla="*/ 571500 h 857250"/>
              <a:gd name="connsiteX0" fmla="*/ 1371600 w 1371600"/>
              <a:gd name="connsiteY0" fmla="*/ 0 h 857250"/>
              <a:gd name="connsiteX1" fmla="*/ 1371600 w 1371600"/>
              <a:gd name="connsiteY1" fmla="*/ 285750 h 857250"/>
              <a:gd name="connsiteX2" fmla="*/ 0 w 1371600"/>
              <a:gd name="connsiteY2" fmla="*/ 285750 h 857250"/>
              <a:gd name="connsiteX3" fmla="*/ 0 w 1371600"/>
              <a:gd name="connsiteY3" fmla="*/ 857250 h 857250"/>
              <a:gd name="connsiteX4" fmla="*/ 1371600 w 1371600"/>
              <a:gd name="connsiteY4" fmla="*/ 857250 h 857250"/>
              <a:gd name="connsiteX5" fmla="*/ 1371600 w 1371600"/>
              <a:gd name="connsiteY5" fmla="*/ 571500 h 8572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1371600" h="857250">
                <a:moveTo>
                  <a:pt x="1371600" y="0"/>
                </a:moveTo>
                <a:lnTo>
                  <a:pt x="1371600" y="285750"/>
                </a:lnTo>
                <a:lnTo>
                  <a:pt x="0" y="285750"/>
                </a:lnTo>
                <a:lnTo>
                  <a:pt x="0" y="857250"/>
                </a:lnTo>
                <a:lnTo>
                  <a:pt x="1371600" y="857250"/>
                </a:lnTo>
                <a:lnTo>
                  <a:pt x="1371600" y="57150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id="{00000000-0008-0000-0100-00002D000000}"/>
              </a:ext>
            </a:extLst>
          </xdr:cNvPr>
          <xdr:cNvSpPr/>
        </xdr:nvSpPr>
        <xdr:spPr>
          <a:xfrm rot="16200000">
            <a:off x="2304319" y="14232548"/>
            <a:ext cx="249116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SpPr/>
        </xdr:nvSpPr>
        <xdr:spPr>
          <a:xfrm rot="16200000">
            <a:off x="948286" y="14174486"/>
            <a:ext cx="294183" cy="2124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47" name="Rectangle 46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SpPr/>
        </xdr:nvSpPr>
        <xdr:spPr>
          <a:xfrm>
            <a:off x="1566581" y="13937190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293078</xdr:colOff>
      <xdr:row>22</xdr:row>
      <xdr:rowOff>249114</xdr:rowOff>
    </xdr:from>
    <xdr:to>
      <xdr:col>1</xdr:col>
      <xdr:colOff>2381253</xdr:colOff>
      <xdr:row>22</xdr:row>
      <xdr:rowOff>753291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GrpSpPr/>
      </xdr:nvGrpSpPr>
      <xdr:grpSpPr>
        <a:xfrm>
          <a:off x="915378" y="18276764"/>
          <a:ext cx="2088175" cy="504177"/>
          <a:chOff x="901213" y="16551518"/>
          <a:chExt cx="2088175" cy="504177"/>
        </a:xfrm>
      </xdr:grpSpPr>
      <xdr:sp macro="" textlink="">
        <xdr:nvSpPr>
          <xdr:cNvPr id="49" name="Freeform 48">
            <a:extLst>
              <a:ext uri="{FF2B5EF4-FFF2-40B4-BE49-F238E27FC236}">
                <a16:creationId xmlns:a16="http://schemas.microsoft.com/office/drawing/2014/main" id="{00000000-0008-0000-0100-000031000000}"/>
              </a:ext>
            </a:extLst>
          </xdr:cNvPr>
          <xdr:cNvSpPr/>
        </xdr:nvSpPr>
        <xdr:spPr>
          <a:xfrm>
            <a:off x="901213" y="16551518"/>
            <a:ext cx="1846384" cy="315087"/>
          </a:xfrm>
          <a:custGeom>
            <a:avLst/>
            <a:gdLst>
              <a:gd name="connsiteX0" fmla="*/ 0 w 4086225"/>
              <a:gd name="connsiteY0" fmla="*/ 571513 h 600091"/>
              <a:gd name="connsiteX1" fmla="*/ 352425 w 4086225"/>
              <a:gd name="connsiteY1" fmla="*/ 9538 h 600091"/>
              <a:gd name="connsiteX2" fmla="*/ 657225 w 4086225"/>
              <a:gd name="connsiteY2" fmla="*/ 590563 h 600091"/>
              <a:gd name="connsiteX3" fmla="*/ 1028700 w 4086225"/>
              <a:gd name="connsiteY3" fmla="*/ 13 h 600091"/>
              <a:gd name="connsiteX4" fmla="*/ 1362075 w 4086225"/>
              <a:gd name="connsiteY4" fmla="*/ 581038 h 600091"/>
              <a:gd name="connsiteX5" fmla="*/ 1704975 w 4086225"/>
              <a:gd name="connsiteY5" fmla="*/ 28588 h 600091"/>
              <a:gd name="connsiteX6" fmla="*/ 2019300 w 4086225"/>
              <a:gd name="connsiteY6" fmla="*/ 581038 h 600091"/>
              <a:gd name="connsiteX7" fmla="*/ 2390775 w 4086225"/>
              <a:gd name="connsiteY7" fmla="*/ 9538 h 600091"/>
              <a:gd name="connsiteX8" fmla="*/ 2714625 w 4086225"/>
              <a:gd name="connsiteY8" fmla="*/ 600088 h 600091"/>
              <a:gd name="connsiteX9" fmla="*/ 3076575 w 4086225"/>
              <a:gd name="connsiteY9" fmla="*/ 13 h 600091"/>
              <a:gd name="connsiteX10" fmla="*/ 3457575 w 4086225"/>
              <a:gd name="connsiteY10" fmla="*/ 581038 h 600091"/>
              <a:gd name="connsiteX11" fmla="*/ 3914775 w 4086225"/>
              <a:gd name="connsiteY11" fmla="*/ 180988 h 600091"/>
              <a:gd name="connsiteX12" fmla="*/ 4086225 w 4086225"/>
              <a:gd name="connsiteY12" fmla="*/ 561988 h 600091"/>
              <a:gd name="connsiteX0" fmla="*/ 0 w 4086225"/>
              <a:gd name="connsiteY0" fmla="*/ 571515 h 600093"/>
              <a:gd name="connsiteX1" fmla="*/ 352425 w 4086225"/>
              <a:gd name="connsiteY1" fmla="*/ 9540 h 600093"/>
              <a:gd name="connsiteX2" fmla="*/ 657225 w 4086225"/>
              <a:gd name="connsiteY2" fmla="*/ 590565 h 600093"/>
              <a:gd name="connsiteX3" fmla="*/ 1028700 w 4086225"/>
              <a:gd name="connsiteY3" fmla="*/ 15 h 600093"/>
              <a:gd name="connsiteX4" fmla="*/ 1362075 w 4086225"/>
              <a:gd name="connsiteY4" fmla="*/ 581040 h 600093"/>
              <a:gd name="connsiteX5" fmla="*/ 1704975 w 4086225"/>
              <a:gd name="connsiteY5" fmla="*/ 28590 h 600093"/>
              <a:gd name="connsiteX6" fmla="*/ 2019300 w 4086225"/>
              <a:gd name="connsiteY6" fmla="*/ 581040 h 600093"/>
              <a:gd name="connsiteX7" fmla="*/ 2390775 w 4086225"/>
              <a:gd name="connsiteY7" fmla="*/ 9540 h 600093"/>
              <a:gd name="connsiteX8" fmla="*/ 2714625 w 4086225"/>
              <a:gd name="connsiteY8" fmla="*/ 600090 h 600093"/>
              <a:gd name="connsiteX9" fmla="*/ 3076575 w 4086225"/>
              <a:gd name="connsiteY9" fmla="*/ 15 h 600093"/>
              <a:gd name="connsiteX10" fmla="*/ 3457575 w 4086225"/>
              <a:gd name="connsiteY10" fmla="*/ 581040 h 600093"/>
              <a:gd name="connsiteX11" fmla="*/ 3762375 w 4086225"/>
              <a:gd name="connsiteY11" fmla="*/ 15 h 600093"/>
              <a:gd name="connsiteX12" fmla="*/ 4086225 w 4086225"/>
              <a:gd name="connsiteY12" fmla="*/ 561990 h 600093"/>
              <a:gd name="connsiteX0" fmla="*/ 0 w 4105275"/>
              <a:gd name="connsiteY0" fmla="*/ 571513 h 600091"/>
              <a:gd name="connsiteX1" fmla="*/ 352425 w 4105275"/>
              <a:gd name="connsiteY1" fmla="*/ 9538 h 600091"/>
              <a:gd name="connsiteX2" fmla="*/ 657225 w 4105275"/>
              <a:gd name="connsiteY2" fmla="*/ 590563 h 600091"/>
              <a:gd name="connsiteX3" fmla="*/ 1028700 w 4105275"/>
              <a:gd name="connsiteY3" fmla="*/ 13 h 600091"/>
              <a:gd name="connsiteX4" fmla="*/ 1362075 w 4105275"/>
              <a:gd name="connsiteY4" fmla="*/ 581038 h 600091"/>
              <a:gd name="connsiteX5" fmla="*/ 1704975 w 4105275"/>
              <a:gd name="connsiteY5" fmla="*/ 28588 h 600091"/>
              <a:gd name="connsiteX6" fmla="*/ 2019300 w 4105275"/>
              <a:gd name="connsiteY6" fmla="*/ 581038 h 600091"/>
              <a:gd name="connsiteX7" fmla="*/ 2390775 w 4105275"/>
              <a:gd name="connsiteY7" fmla="*/ 9538 h 600091"/>
              <a:gd name="connsiteX8" fmla="*/ 2714625 w 4105275"/>
              <a:gd name="connsiteY8" fmla="*/ 600088 h 600091"/>
              <a:gd name="connsiteX9" fmla="*/ 3076575 w 4105275"/>
              <a:gd name="connsiteY9" fmla="*/ 13 h 600091"/>
              <a:gd name="connsiteX10" fmla="*/ 3457575 w 4105275"/>
              <a:gd name="connsiteY10" fmla="*/ 581038 h 600091"/>
              <a:gd name="connsiteX11" fmla="*/ 3762375 w 4105275"/>
              <a:gd name="connsiteY11" fmla="*/ 13 h 600091"/>
              <a:gd name="connsiteX12" fmla="*/ 4105275 w 4105275"/>
              <a:gd name="connsiteY12" fmla="*/ 571513 h 600091"/>
              <a:gd name="connsiteX0" fmla="*/ 0 w 4105275"/>
              <a:gd name="connsiteY0" fmla="*/ 571529 h 600107"/>
              <a:gd name="connsiteX1" fmla="*/ 352425 w 4105275"/>
              <a:gd name="connsiteY1" fmla="*/ 9554 h 600107"/>
              <a:gd name="connsiteX2" fmla="*/ 657225 w 4105275"/>
              <a:gd name="connsiteY2" fmla="*/ 590579 h 600107"/>
              <a:gd name="connsiteX3" fmla="*/ 1028700 w 4105275"/>
              <a:gd name="connsiteY3" fmla="*/ 29 h 600107"/>
              <a:gd name="connsiteX4" fmla="*/ 1362075 w 4105275"/>
              <a:gd name="connsiteY4" fmla="*/ 581054 h 600107"/>
              <a:gd name="connsiteX5" fmla="*/ 1704975 w 4105275"/>
              <a:gd name="connsiteY5" fmla="*/ 28604 h 600107"/>
              <a:gd name="connsiteX6" fmla="*/ 2019300 w 4105275"/>
              <a:gd name="connsiteY6" fmla="*/ 581054 h 600107"/>
              <a:gd name="connsiteX7" fmla="*/ 2390775 w 4105275"/>
              <a:gd name="connsiteY7" fmla="*/ 9554 h 600107"/>
              <a:gd name="connsiteX8" fmla="*/ 2714625 w 4105275"/>
              <a:gd name="connsiteY8" fmla="*/ 600104 h 600107"/>
              <a:gd name="connsiteX9" fmla="*/ 3076575 w 4105275"/>
              <a:gd name="connsiteY9" fmla="*/ 29 h 600107"/>
              <a:gd name="connsiteX10" fmla="*/ 3419475 w 4105275"/>
              <a:gd name="connsiteY10" fmla="*/ 571529 h 600107"/>
              <a:gd name="connsiteX11" fmla="*/ 3762375 w 4105275"/>
              <a:gd name="connsiteY11" fmla="*/ 29 h 600107"/>
              <a:gd name="connsiteX12" fmla="*/ 4105275 w 4105275"/>
              <a:gd name="connsiteY12" fmla="*/ 571529 h 600107"/>
              <a:gd name="connsiteX0" fmla="*/ 0 w 4105275"/>
              <a:gd name="connsiteY0" fmla="*/ 571529 h 600107"/>
              <a:gd name="connsiteX1" fmla="*/ 352425 w 4105275"/>
              <a:gd name="connsiteY1" fmla="*/ 9554 h 600107"/>
              <a:gd name="connsiteX2" fmla="*/ 657225 w 4105275"/>
              <a:gd name="connsiteY2" fmla="*/ 590579 h 600107"/>
              <a:gd name="connsiteX3" fmla="*/ 1028700 w 4105275"/>
              <a:gd name="connsiteY3" fmla="*/ 29 h 600107"/>
              <a:gd name="connsiteX4" fmla="*/ 1362075 w 4105275"/>
              <a:gd name="connsiteY4" fmla="*/ 581054 h 600107"/>
              <a:gd name="connsiteX5" fmla="*/ 1704975 w 4105275"/>
              <a:gd name="connsiteY5" fmla="*/ 28604 h 600107"/>
              <a:gd name="connsiteX6" fmla="*/ 2019300 w 4105275"/>
              <a:gd name="connsiteY6" fmla="*/ 581054 h 600107"/>
              <a:gd name="connsiteX7" fmla="*/ 2390775 w 4105275"/>
              <a:gd name="connsiteY7" fmla="*/ 9554 h 600107"/>
              <a:gd name="connsiteX8" fmla="*/ 2714625 w 4105275"/>
              <a:gd name="connsiteY8" fmla="*/ 600104 h 600107"/>
              <a:gd name="connsiteX9" fmla="*/ 3076575 w 4105275"/>
              <a:gd name="connsiteY9" fmla="*/ 29 h 600107"/>
              <a:gd name="connsiteX10" fmla="*/ 3419475 w 4105275"/>
              <a:gd name="connsiteY10" fmla="*/ 571529 h 600107"/>
              <a:gd name="connsiteX11" fmla="*/ 3762375 w 4105275"/>
              <a:gd name="connsiteY11" fmla="*/ 29 h 600107"/>
              <a:gd name="connsiteX12" fmla="*/ 4105275 w 4105275"/>
              <a:gd name="connsiteY12" fmla="*/ 571529 h 600107"/>
              <a:gd name="connsiteX0" fmla="*/ 0 w 4105275"/>
              <a:gd name="connsiteY0" fmla="*/ 571504 h 590557"/>
              <a:gd name="connsiteX1" fmla="*/ 352425 w 4105275"/>
              <a:gd name="connsiteY1" fmla="*/ 9529 h 590557"/>
              <a:gd name="connsiteX2" fmla="*/ 657225 w 4105275"/>
              <a:gd name="connsiteY2" fmla="*/ 590554 h 590557"/>
              <a:gd name="connsiteX3" fmla="*/ 1028700 w 4105275"/>
              <a:gd name="connsiteY3" fmla="*/ 4 h 590557"/>
              <a:gd name="connsiteX4" fmla="*/ 1362075 w 4105275"/>
              <a:gd name="connsiteY4" fmla="*/ 581029 h 590557"/>
              <a:gd name="connsiteX5" fmla="*/ 1704975 w 4105275"/>
              <a:gd name="connsiteY5" fmla="*/ 28579 h 590557"/>
              <a:gd name="connsiteX6" fmla="*/ 2019300 w 4105275"/>
              <a:gd name="connsiteY6" fmla="*/ 581029 h 590557"/>
              <a:gd name="connsiteX7" fmla="*/ 2390775 w 4105275"/>
              <a:gd name="connsiteY7" fmla="*/ 9529 h 590557"/>
              <a:gd name="connsiteX8" fmla="*/ 2733675 w 4105275"/>
              <a:gd name="connsiteY8" fmla="*/ 571504 h 590557"/>
              <a:gd name="connsiteX9" fmla="*/ 3076575 w 4105275"/>
              <a:gd name="connsiteY9" fmla="*/ 4 h 590557"/>
              <a:gd name="connsiteX10" fmla="*/ 3419475 w 4105275"/>
              <a:gd name="connsiteY10" fmla="*/ 571504 h 590557"/>
              <a:gd name="connsiteX11" fmla="*/ 3762375 w 4105275"/>
              <a:gd name="connsiteY11" fmla="*/ 4 h 590557"/>
              <a:gd name="connsiteX12" fmla="*/ 4105275 w 4105275"/>
              <a:gd name="connsiteY12" fmla="*/ 571504 h 590557"/>
              <a:gd name="connsiteX0" fmla="*/ 0 w 4105275"/>
              <a:gd name="connsiteY0" fmla="*/ 571504 h 590557"/>
              <a:gd name="connsiteX1" fmla="*/ 352425 w 4105275"/>
              <a:gd name="connsiteY1" fmla="*/ 9529 h 590557"/>
              <a:gd name="connsiteX2" fmla="*/ 657225 w 4105275"/>
              <a:gd name="connsiteY2" fmla="*/ 590554 h 590557"/>
              <a:gd name="connsiteX3" fmla="*/ 1028700 w 4105275"/>
              <a:gd name="connsiteY3" fmla="*/ 4 h 590557"/>
              <a:gd name="connsiteX4" fmla="*/ 1362075 w 4105275"/>
              <a:gd name="connsiteY4" fmla="*/ 581029 h 590557"/>
              <a:gd name="connsiteX5" fmla="*/ 1704975 w 4105275"/>
              <a:gd name="connsiteY5" fmla="*/ 28579 h 590557"/>
              <a:gd name="connsiteX6" fmla="*/ 2019300 w 4105275"/>
              <a:gd name="connsiteY6" fmla="*/ 581029 h 590557"/>
              <a:gd name="connsiteX7" fmla="*/ 2390775 w 4105275"/>
              <a:gd name="connsiteY7" fmla="*/ 4 h 590557"/>
              <a:gd name="connsiteX8" fmla="*/ 2733675 w 4105275"/>
              <a:gd name="connsiteY8" fmla="*/ 571504 h 590557"/>
              <a:gd name="connsiteX9" fmla="*/ 3076575 w 4105275"/>
              <a:gd name="connsiteY9" fmla="*/ 4 h 590557"/>
              <a:gd name="connsiteX10" fmla="*/ 3419475 w 4105275"/>
              <a:gd name="connsiteY10" fmla="*/ 571504 h 590557"/>
              <a:gd name="connsiteX11" fmla="*/ 3762375 w 4105275"/>
              <a:gd name="connsiteY11" fmla="*/ 4 h 590557"/>
              <a:gd name="connsiteX12" fmla="*/ 4105275 w 4105275"/>
              <a:gd name="connsiteY12" fmla="*/ 571504 h 590557"/>
              <a:gd name="connsiteX0" fmla="*/ 0 w 4105275"/>
              <a:gd name="connsiteY0" fmla="*/ 571504 h 590557"/>
              <a:gd name="connsiteX1" fmla="*/ 352425 w 4105275"/>
              <a:gd name="connsiteY1" fmla="*/ 9529 h 590557"/>
              <a:gd name="connsiteX2" fmla="*/ 657225 w 4105275"/>
              <a:gd name="connsiteY2" fmla="*/ 590554 h 590557"/>
              <a:gd name="connsiteX3" fmla="*/ 1028700 w 4105275"/>
              <a:gd name="connsiteY3" fmla="*/ 4 h 590557"/>
              <a:gd name="connsiteX4" fmla="*/ 1362075 w 4105275"/>
              <a:gd name="connsiteY4" fmla="*/ 581029 h 590557"/>
              <a:gd name="connsiteX5" fmla="*/ 1704975 w 4105275"/>
              <a:gd name="connsiteY5" fmla="*/ 28579 h 590557"/>
              <a:gd name="connsiteX6" fmla="*/ 2047875 w 4105275"/>
              <a:gd name="connsiteY6" fmla="*/ 571504 h 590557"/>
              <a:gd name="connsiteX7" fmla="*/ 2390775 w 4105275"/>
              <a:gd name="connsiteY7" fmla="*/ 4 h 590557"/>
              <a:gd name="connsiteX8" fmla="*/ 2733675 w 4105275"/>
              <a:gd name="connsiteY8" fmla="*/ 571504 h 590557"/>
              <a:gd name="connsiteX9" fmla="*/ 3076575 w 4105275"/>
              <a:gd name="connsiteY9" fmla="*/ 4 h 590557"/>
              <a:gd name="connsiteX10" fmla="*/ 3419475 w 4105275"/>
              <a:gd name="connsiteY10" fmla="*/ 571504 h 590557"/>
              <a:gd name="connsiteX11" fmla="*/ 3762375 w 4105275"/>
              <a:gd name="connsiteY11" fmla="*/ 4 h 590557"/>
              <a:gd name="connsiteX12" fmla="*/ 4105275 w 4105275"/>
              <a:gd name="connsiteY12" fmla="*/ 571504 h 590557"/>
              <a:gd name="connsiteX0" fmla="*/ 0 w 4105275"/>
              <a:gd name="connsiteY0" fmla="*/ 571513 h 590566"/>
              <a:gd name="connsiteX1" fmla="*/ 352425 w 4105275"/>
              <a:gd name="connsiteY1" fmla="*/ 9538 h 590566"/>
              <a:gd name="connsiteX2" fmla="*/ 657225 w 4105275"/>
              <a:gd name="connsiteY2" fmla="*/ 590563 h 590566"/>
              <a:gd name="connsiteX3" fmla="*/ 1028700 w 4105275"/>
              <a:gd name="connsiteY3" fmla="*/ 13 h 590566"/>
              <a:gd name="connsiteX4" fmla="*/ 1362075 w 4105275"/>
              <a:gd name="connsiteY4" fmla="*/ 571513 h 590566"/>
              <a:gd name="connsiteX5" fmla="*/ 1704975 w 4105275"/>
              <a:gd name="connsiteY5" fmla="*/ 28588 h 590566"/>
              <a:gd name="connsiteX6" fmla="*/ 2047875 w 4105275"/>
              <a:gd name="connsiteY6" fmla="*/ 571513 h 590566"/>
              <a:gd name="connsiteX7" fmla="*/ 2390775 w 4105275"/>
              <a:gd name="connsiteY7" fmla="*/ 13 h 590566"/>
              <a:gd name="connsiteX8" fmla="*/ 2733675 w 4105275"/>
              <a:gd name="connsiteY8" fmla="*/ 571513 h 590566"/>
              <a:gd name="connsiteX9" fmla="*/ 3076575 w 4105275"/>
              <a:gd name="connsiteY9" fmla="*/ 13 h 590566"/>
              <a:gd name="connsiteX10" fmla="*/ 3419475 w 4105275"/>
              <a:gd name="connsiteY10" fmla="*/ 571513 h 590566"/>
              <a:gd name="connsiteX11" fmla="*/ 3762375 w 4105275"/>
              <a:gd name="connsiteY11" fmla="*/ 13 h 590566"/>
              <a:gd name="connsiteX12" fmla="*/ 4105275 w 4105275"/>
              <a:gd name="connsiteY12" fmla="*/ 571513 h 590566"/>
              <a:gd name="connsiteX0" fmla="*/ 0 w 4105275"/>
              <a:gd name="connsiteY0" fmla="*/ 571513 h 590566"/>
              <a:gd name="connsiteX1" fmla="*/ 352425 w 4105275"/>
              <a:gd name="connsiteY1" fmla="*/ 9538 h 590566"/>
              <a:gd name="connsiteX2" fmla="*/ 657225 w 4105275"/>
              <a:gd name="connsiteY2" fmla="*/ 590563 h 590566"/>
              <a:gd name="connsiteX3" fmla="*/ 1019175 w 4105275"/>
              <a:gd name="connsiteY3" fmla="*/ 13 h 590566"/>
              <a:gd name="connsiteX4" fmla="*/ 1362075 w 4105275"/>
              <a:gd name="connsiteY4" fmla="*/ 571513 h 590566"/>
              <a:gd name="connsiteX5" fmla="*/ 1704975 w 4105275"/>
              <a:gd name="connsiteY5" fmla="*/ 28588 h 590566"/>
              <a:gd name="connsiteX6" fmla="*/ 2047875 w 4105275"/>
              <a:gd name="connsiteY6" fmla="*/ 571513 h 590566"/>
              <a:gd name="connsiteX7" fmla="*/ 2390775 w 4105275"/>
              <a:gd name="connsiteY7" fmla="*/ 13 h 590566"/>
              <a:gd name="connsiteX8" fmla="*/ 2733675 w 4105275"/>
              <a:gd name="connsiteY8" fmla="*/ 571513 h 590566"/>
              <a:gd name="connsiteX9" fmla="*/ 3076575 w 4105275"/>
              <a:gd name="connsiteY9" fmla="*/ 13 h 590566"/>
              <a:gd name="connsiteX10" fmla="*/ 3419475 w 4105275"/>
              <a:gd name="connsiteY10" fmla="*/ 571513 h 590566"/>
              <a:gd name="connsiteX11" fmla="*/ 3762375 w 4105275"/>
              <a:gd name="connsiteY11" fmla="*/ 13 h 590566"/>
              <a:gd name="connsiteX12" fmla="*/ 4105275 w 4105275"/>
              <a:gd name="connsiteY12" fmla="*/ 571513 h 590566"/>
              <a:gd name="connsiteX0" fmla="*/ 0 w 4105275"/>
              <a:gd name="connsiteY0" fmla="*/ 571500 h 571530"/>
              <a:gd name="connsiteX1" fmla="*/ 352425 w 4105275"/>
              <a:gd name="connsiteY1" fmla="*/ 9525 h 571530"/>
              <a:gd name="connsiteX2" fmla="*/ 676275 w 4105275"/>
              <a:gd name="connsiteY2" fmla="*/ 571500 h 571530"/>
              <a:gd name="connsiteX3" fmla="*/ 1019175 w 4105275"/>
              <a:gd name="connsiteY3" fmla="*/ 0 h 571530"/>
              <a:gd name="connsiteX4" fmla="*/ 1362075 w 4105275"/>
              <a:gd name="connsiteY4" fmla="*/ 571500 h 571530"/>
              <a:gd name="connsiteX5" fmla="*/ 1704975 w 4105275"/>
              <a:gd name="connsiteY5" fmla="*/ 28575 h 571530"/>
              <a:gd name="connsiteX6" fmla="*/ 2047875 w 4105275"/>
              <a:gd name="connsiteY6" fmla="*/ 571500 h 571530"/>
              <a:gd name="connsiteX7" fmla="*/ 2390775 w 4105275"/>
              <a:gd name="connsiteY7" fmla="*/ 0 h 571530"/>
              <a:gd name="connsiteX8" fmla="*/ 2733675 w 4105275"/>
              <a:gd name="connsiteY8" fmla="*/ 571500 h 571530"/>
              <a:gd name="connsiteX9" fmla="*/ 3076575 w 4105275"/>
              <a:gd name="connsiteY9" fmla="*/ 0 h 571530"/>
              <a:gd name="connsiteX10" fmla="*/ 3419475 w 4105275"/>
              <a:gd name="connsiteY10" fmla="*/ 571500 h 571530"/>
              <a:gd name="connsiteX11" fmla="*/ 3762375 w 4105275"/>
              <a:gd name="connsiteY11" fmla="*/ 0 h 571530"/>
              <a:gd name="connsiteX12" fmla="*/ 4105275 w 4105275"/>
              <a:gd name="connsiteY12" fmla="*/ 571500 h 571530"/>
              <a:gd name="connsiteX0" fmla="*/ 0 w 4105275"/>
              <a:gd name="connsiteY0" fmla="*/ 571500 h 571530"/>
              <a:gd name="connsiteX1" fmla="*/ 333375 w 4105275"/>
              <a:gd name="connsiteY1" fmla="*/ 0 h 571530"/>
              <a:gd name="connsiteX2" fmla="*/ 676275 w 4105275"/>
              <a:gd name="connsiteY2" fmla="*/ 571500 h 571530"/>
              <a:gd name="connsiteX3" fmla="*/ 1019175 w 4105275"/>
              <a:gd name="connsiteY3" fmla="*/ 0 h 571530"/>
              <a:gd name="connsiteX4" fmla="*/ 1362075 w 4105275"/>
              <a:gd name="connsiteY4" fmla="*/ 571500 h 571530"/>
              <a:gd name="connsiteX5" fmla="*/ 1704975 w 4105275"/>
              <a:gd name="connsiteY5" fmla="*/ 28575 h 571530"/>
              <a:gd name="connsiteX6" fmla="*/ 2047875 w 4105275"/>
              <a:gd name="connsiteY6" fmla="*/ 571500 h 571530"/>
              <a:gd name="connsiteX7" fmla="*/ 2390775 w 4105275"/>
              <a:gd name="connsiteY7" fmla="*/ 0 h 571530"/>
              <a:gd name="connsiteX8" fmla="*/ 2733675 w 4105275"/>
              <a:gd name="connsiteY8" fmla="*/ 571500 h 571530"/>
              <a:gd name="connsiteX9" fmla="*/ 3076575 w 4105275"/>
              <a:gd name="connsiteY9" fmla="*/ 0 h 571530"/>
              <a:gd name="connsiteX10" fmla="*/ 3419475 w 4105275"/>
              <a:gd name="connsiteY10" fmla="*/ 571500 h 571530"/>
              <a:gd name="connsiteX11" fmla="*/ 3762375 w 4105275"/>
              <a:gd name="connsiteY11" fmla="*/ 0 h 571530"/>
              <a:gd name="connsiteX12" fmla="*/ 4105275 w 4105275"/>
              <a:gd name="connsiteY12" fmla="*/ 571500 h 571530"/>
              <a:gd name="connsiteX0" fmla="*/ 0 w 4114800"/>
              <a:gd name="connsiteY0" fmla="*/ 571500 h 571530"/>
              <a:gd name="connsiteX1" fmla="*/ 342900 w 4114800"/>
              <a:gd name="connsiteY1" fmla="*/ 0 h 571530"/>
              <a:gd name="connsiteX2" fmla="*/ 685800 w 4114800"/>
              <a:gd name="connsiteY2" fmla="*/ 571500 h 571530"/>
              <a:gd name="connsiteX3" fmla="*/ 1028700 w 4114800"/>
              <a:gd name="connsiteY3" fmla="*/ 0 h 571530"/>
              <a:gd name="connsiteX4" fmla="*/ 1371600 w 4114800"/>
              <a:gd name="connsiteY4" fmla="*/ 571500 h 571530"/>
              <a:gd name="connsiteX5" fmla="*/ 1714500 w 4114800"/>
              <a:gd name="connsiteY5" fmla="*/ 28575 h 571530"/>
              <a:gd name="connsiteX6" fmla="*/ 2057400 w 4114800"/>
              <a:gd name="connsiteY6" fmla="*/ 571500 h 571530"/>
              <a:gd name="connsiteX7" fmla="*/ 2400300 w 4114800"/>
              <a:gd name="connsiteY7" fmla="*/ 0 h 571530"/>
              <a:gd name="connsiteX8" fmla="*/ 2743200 w 4114800"/>
              <a:gd name="connsiteY8" fmla="*/ 571500 h 571530"/>
              <a:gd name="connsiteX9" fmla="*/ 3086100 w 4114800"/>
              <a:gd name="connsiteY9" fmla="*/ 0 h 571530"/>
              <a:gd name="connsiteX10" fmla="*/ 3429000 w 4114800"/>
              <a:gd name="connsiteY10" fmla="*/ 571500 h 571530"/>
              <a:gd name="connsiteX11" fmla="*/ 3771900 w 4114800"/>
              <a:gd name="connsiteY11" fmla="*/ 0 h 571530"/>
              <a:gd name="connsiteX12" fmla="*/ 4114800 w 4114800"/>
              <a:gd name="connsiteY12" fmla="*/ 571500 h 57153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114800" h="571530">
                <a:moveTo>
                  <a:pt x="0" y="571500"/>
                </a:moveTo>
                <a:cubicBezTo>
                  <a:pt x="121444" y="288925"/>
                  <a:pt x="228600" y="0"/>
                  <a:pt x="342900" y="0"/>
                </a:cubicBezTo>
                <a:cubicBezTo>
                  <a:pt x="457200" y="0"/>
                  <a:pt x="571500" y="571500"/>
                  <a:pt x="685800" y="571500"/>
                </a:cubicBezTo>
                <a:cubicBezTo>
                  <a:pt x="800100" y="571500"/>
                  <a:pt x="914400" y="0"/>
                  <a:pt x="1028700" y="0"/>
                </a:cubicBezTo>
                <a:cubicBezTo>
                  <a:pt x="1143000" y="0"/>
                  <a:pt x="1257300" y="566737"/>
                  <a:pt x="1371600" y="571500"/>
                </a:cubicBezTo>
                <a:cubicBezTo>
                  <a:pt x="1485900" y="576263"/>
                  <a:pt x="1600200" y="28575"/>
                  <a:pt x="1714500" y="28575"/>
                </a:cubicBezTo>
                <a:cubicBezTo>
                  <a:pt x="1828800" y="28575"/>
                  <a:pt x="1943100" y="576263"/>
                  <a:pt x="2057400" y="571500"/>
                </a:cubicBezTo>
                <a:cubicBezTo>
                  <a:pt x="2171700" y="566737"/>
                  <a:pt x="2286000" y="0"/>
                  <a:pt x="2400300" y="0"/>
                </a:cubicBezTo>
                <a:cubicBezTo>
                  <a:pt x="2514600" y="0"/>
                  <a:pt x="2628900" y="571500"/>
                  <a:pt x="2743200" y="571500"/>
                </a:cubicBezTo>
                <a:cubicBezTo>
                  <a:pt x="2857500" y="571500"/>
                  <a:pt x="2971800" y="0"/>
                  <a:pt x="3086100" y="0"/>
                </a:cubicBezTo>
                <a:cubicBezTo>
                  <a:pt x="3200400" y="0"/>
                  <a:pt x="3314700" y="571500"/>
                  <a:pt x="3429000" y="571500"/>
                </a:cubicBezTo>
                <a:cubicBezTo>
                  <a:pt x="3543300" y="571500"/>
                  <a:pt x="3657600" y="0"/>
                  <a:pt x="3771900" y="0"/>
                </a:cubicBezTo>
                <a:cubicBezTo>
                  <a:pt x="3886200" y="0"/>
                  <a:pt x="3990975" y="495300"/>
                  <a:pt x="4114800" y="571500"/>
                </a:cubicBez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" name="Rectangle 49">
            <a:extLst>
              <a:ext uri="{FF2B5EF4-FFF2-40B4-BE49-F238E27FC236}">
                <a16:creationId xmlns:a16="http://schemas.microsoft.com/office/drawing/2014/main" id="{00000000-0008-0000-0100-000032000000}"/>
              </a:ext>
            </a:extLst>
          </xdr:cNvPr>
          <xdr:cNvSpPr/>
        </xdr:nvSpPr>
        <xdr:spPr>
          <a:xfrm rot="16200000">
            <a:off x="2751263" y="16606471"/>
            <a:ext cx="271096" cy="20515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51" name="Rectangle 50">
            <a:extLst>
              <a:ext uri="{FF2B5EF4-FFF2-40B4-BE49-F238E27FC236}">
                <a16:creationId xmlns:a16="http://schemas.microsoft.com/office/drawing/2014/main" id="{00000000-0008-0000-0100-000033000000}"/>
              </a:ext>
            </a:extLst>
          </xdr:cNvPr>
          <xdr:cNvSpPr/>
        </xdr:nvSpPr>
        <xdr:spPr>
          <a:xfrm>
            <a:off x="1657348" y="16910539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871903</xdr:colOff>
      <xdr:row>23</xdr:row>
      <xdr:rowOff>102578</xdr:rowOff>
    </xdr:from>
    <xdr:to>
      <xdr:col>1</xdr:col>
      <xdr:colOff>1494692</xdr:colOff>
      <xdr:row>23</xdr:row>
      <xdr:rowOff>725366</xdr:rowOff>
    </xdr:to>
    <xdr:grpSp>
      <xdr:nvGrpSpPr>
        <xdr:cNvPr id="52" name="Group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pSpPr/>
      </xdr:nvGrpSpPr>
      <xdr:grpSpPr>
        <a:xfrm>
          <a:off x="1494203" y="18968428"/>
          <a:ext cx="622789" cy="622788"/>
          <a:chOff x="1480038" y="17240251"/>
          <a:chExt cx="622789" cy="622788"/>
        </a:xfrm>
      </xdr:grpSpPr>
      <xdr:sp macro="" textlink="">
        <xdr:nvSpPr>
          <xdr:cNvPr id="53" name="Oval 52">
            <a:extLst>
              <a:ext uri="{FF2B5EF4-FFF2-40B4-BE49-F238E27FC236}">
                <a16:creationId xmlns:a16="http://schemas.microsoft.com/office/drawing/2014/main" id="{00000000-0008-0000-0100-000035000000}"/>
              </a:ext>
            </a:extLst>
          </xdr:cNvPr>
          <xdr:cNvSpPr/>
        </xdr:nvSpPr>
        <xdr:spPr>
          <a:xfrm>
            <a:off x="1480038" y="17240251"/>
            <a:ext cx="622789" cy="622788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54" name="Straight Arrow Connector 53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CxnSpPr>
            <a:endCxn id="53" idx="2"/>
          </xdr:cNvCxnSpPr>
        </xdr:nvCxnSpPr>
        <xdr:spPr>
          <a:xfrm flipH="1" flipV="1">
            <a:off x="1480038" y="17551645"/>
            <a:ext cx="315058" cy="3663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SpPr/>
        </xdr:nvSpPr>
        <xdr:spPr>
          <a:xfrm>
            <a:off x="1502020" y="17364807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520129</xdr:colOff>
      <xdr:row>24</xdr:row>
      <xdr:rowOff>131885</xdr:rowOff>
    </xdr:from>
    <xdr:to>
      <xdr:col>1</xdr:col>
      <xdr:colOff>1633904</xdr:colOff>
      <xdr:row>24</xdr:row>
      <xdr:rowOff>643302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GrpSpPr/>
      </xdr:nvGrpSpPr>
      <xdr:grpSpPr>
        <a:xfrm>
          <a:off x="1142429" y="19835935"/>
          <a:ext cx="1113775" cy="511417"/>
          <a:chOff x="1069649" y="18082846"/>
          <a:chExt cx="1113775" cy="511417"/>
        </a:xfrm>
      </xdr:grpSpPr>
      <xdr:sp macro="" textlink="">
        <xdr:nvSpPr>
          <xdr:cNvPr id="57" name="Freeform 56">
            <a:extLst>
              <a:ext uri="{FF2B5EF4-FFF2-40B4-BE49-F238E27FC236}">
                <a16:creationId xmlns:a16="http://schemas.microsoft.com/office/drawing/2014/main" id="{00000000-0008-0000-0100-000039000000}"/>
              </a:ext>
            </a:extLst>
          </xdr:cNvPr>
          <xdr:cNvSpPr/>
        </xdr:nvSpPr>
        <xdr:spPr>
          <a:xfrm rot="16200000">
            <a:off x="1586280" y="17969279"/>
            <a:ext cx="285750" cy="908539"/>
          </a:xfrm>
          <a:custGeom>
            <a:avLst/>
            <a:gdLst>
              <a:gd name="connsiteX0" fmla="*/ 0 w 2057400"/>
              <a:gd name="connsiteY0" fmla="*/ 1133475 h 1152525"/>
              <a:gd name="connsiteX1" fmla="*/ 695325 w 2057400"/>
              <a:gd name="connsiteY1" fmla="*/ 1152525 h 1152525"/>
              <a:gd name="connsiteX2" fmla="*/ 704850 w 2057400"/>
              <a:gd name="connsiteY2" fmla="*/ 333375 h 1152525"/>
              <a:gd name="connsiteX3" fmla="*/ 1047750 w 2057400"/>
              <a:gd name="connsiteY3" fmla="*/ 0 h 1152525"/>
              <a:gd name="connsiteX4" fmla="*/ 1362075 w 2057400"/>
              <a:gd name="connsiteY4" fmla="*/ 285750 h 1152525"/>
              <a:gd name="connsiteX5" fmla="*/ 1409700 w 2057400"/>
              <a:gd name="connsiteY5" fmla="*/ 1133475 h 1152525"/>
              <a:gd name="connsiteX6" fmla="*/ 2057400 w 2057400"/>
              <a:gd name="connsiteY6" fmla="*/ 1123950 h 1152525"/>
              <a:gd name="connsiteX0" fmla="*/ 0 w 2038350"/>
              <a:gd name="connsiteY0" fmla="*/ 1143000 h 1152525"/>
              <a:gd name="connsiteX1" fmla="*/ 676275 w 2038350"/>
              <a:gd name="connsiteY1" fmla="*/ 1152525 h 1152525"/>
              <a:gd name="connsiteX2" fmla="*/ 685800 w 2038350"/>
              <a:gd name="connsiteY2" fmla="*/ 333375 h 1152525"/>
              <a:gd name="connsiteX3" fmla="*/ 1028700 w 2038350"/>
              <a:gd name="connsiteY3" fmla="*/ 0 h 1152525"/>
              <a:gd name="connsiteX4" fmla="*/ 1343025 w 2038350"/>
              <a:gd name="connsiteY4" fmla="*/ 285750 h 1152525"/>
              <a:gd name="connsiteX5" fmla="*/ 1390650 w 2038350"/>
              <a:gd name="connsiteY5" fmla="*/ 1133475 h 1152525"/>
              <a:gd name="connsiteX6" fmla="*/ 2038350 w 2038350"/>
              <a:gd name="connsiteY6" fmla="*/ 1123950 h 1152525"/>
              <a:gd name="connsiteX0" fmla="*/ 0 w 2038350"/>
              <a:gd name="connsiteY0" fmla="*/ 1143000 h 1143000"/>
              <a:gd name="connsiteX1" fmla="*/ 685800 w 2038350"/>
              <a:gd name="connsiteY1" fmla="*/ 1143000 h 1143000"/>
              <a:gd name="connsiteX2" fmla="*/ 685800 w 2038350"/>
              <a:gd name="connsiteY2" fmla="*/ 333375 h 1143000"/>
              <a:gd name="connsiteX3" fmla="*/ 1028700 w 2038350"/>
              <a:gd name="connsiteY3" fmla="*/ 0 h 1143000"/>
              <a:gd name="connsiteX4" fmla="*/ 1343025 w 2038350"/>
              <a:gd name="connsiteY4" fmla="*/ 285750 h 1143000"/>
              <a:gd name="connsiteX5" fmla="*/ 1390650 w 2038350"/>
              <a:gd name="connsiteY5" fmla="*/ 1133475 h 1143000"/>
              <a:gd name="connsiteX6" fmla="*/ 2038350 w 2038350"/>
              <a:gd name="connsiteY6" fmla="*/ 1123950 h 1143000"/>
              <a:gd name="connsiteX0" fmla="*/ 0 w 2038350"/>
              <a:gd name="connsiteY0" fmla="*/ 1143000 h 1143000"/>
              <a:gd name="connsiteX1" fmla="*/ 685800 w 2038350"/>
              <a:gd name="connsiteY1" fmla="*/ 1143000 h 1143000"/>
              <a:gd name="connsiteX2" fmla="*/ 685800 w 2038350"/>
              <a:gd name="connsiteY2" fmla="*/ 333375 h 1143000"/>
              <a:gd name="connsiteX3" fmla="*/ 1028700 w 2038350"/>
              <a:gd name="connsiteY3" fmla="*/ 0 h 1143000"/>
              <a:gd name="connsiteX4" fmla="*/ 1343025 w 2038350"/>
              <a:gd name="connsiteY4" fmla="*/ 285750 h 1143000"/>
              <a:gd name="connsiteX5" fmla="*/ 1371600 w 2038350"/>
              <a:gd name="connsiteY5" fmla="*/ 1143000 h 1143000"/>
              <a:gd name="connsiteX6" fmla="*/ 2038350 w 2038350"/>
              <a:gd name="connsiteY6" fmla="*/ 1123950 h 1143000"/>
              <a:gd name="connsiteX0" fmla="*/ 0 w 2057400"/>
              <a:gd name="connsiteY0" fmla="*/ 1143000 h 1143000"/>
              <a:gd name="connsiteX1" fmla="*/ 685800 w 2057400"/>
              <a:gd name="connsiteY1" fmla="*/ 1143000 h 1143000"/>
              <a:gd name="connsiteX2" fmla="*/ 685800 w 2057400"/>
              <a:gd name="connsiteY2" fmla="*/ 333375 h 1143000"/>
              <a:gd name="connsiteX3" fmla="*/ 1028700 w 2057400"/>
              <a:gd name="connsiteY3" fmla="*/ 0 h 1143000"/>
              <a:gd name="connsiteX4" fmla="*/ 1343025 w 2057400"/>
              <a:gd name="connsiteY4" fmla="*/ 285750 h 1143000"/>
              <a:gd name="connsiteX5" fmla="*/ 1371600 w 2057400"/>
              <a:gd name="connsiteY5" fmla="*/ 1143000 h 1143000"/>
              <a:gd name="connsiteX6" fmla="*/ 2057400 w 2057400"/>
              <a:gd name="connsiteY6" fmla="*/ 1143000 h 1143000"/>
              <a:gd name="connsiteX0" fmla="*/ 0 w 2057400"/>
              <a:gd name="connsiteY0" fmla="*/ 1143000 h 1143000"/>
              <a:gd name="connsiteX1" fmla="*/ 685800 w 2057400"/>
              <a:gd name="connsiteY1" fmla="*/ 1143000 h 1143000"/>
              <a:gd name="connsiteX2" fmla="*/ 685800 w 2057400"/>
              <a:gd name="connsiteY2" fmla="*/ 333375 h 1143000"/>
              <a:gd name="connsiteX3" fmla="*/ 1028700 w 2057400"/>
              <a:gd name="connsiteY3" fmla="*/ 0 h 1143000"/>
              <a:gd name="connsiteX4" fmla="*/ 1371600 w 2057400"/>
              <a:gd name="connsiteY4" fmla="*/ 285750 h 1143000"/>
              <a:gd name="connsiteX5" fmla="*/ 1371600 w 2057400"/>
              <a:gd name="connsiteY5" fmla="*/ 1143000 h 1143000"/>
              <a:gd name="connsiteX6" fmla="*/ 2057400 w 2057400"/>
              <a:gd name="connsiteY6" fmla="*/ 1143000 h 1143000"/>
              <a:gd name="connsiteX0" fmla="*/ 0 w 2057400"/>
              <a:gd name="connsiteY0" fmla="*/ 1143000 h 1143000"/>
              <a:gd name="connsiteX1" fmla="*/ 685800 w 2057400"/>
              <a:gd name="connsiteY1" fmla="*/ 1143000 h 1143000"/>
              <a:gd name="connsiteX2" fmla="*/ 685800 w 2057400"/>
              <a:gd name="connsiteY2" fmla="*/ 285750 h 1143000"/>
              <a:gd name="connsiteX3" fmla="*/ 1028700 w 2057400"/>
              <a:gd name="connsiteY3" fmla="*/ 0 h 1143000"/>
              <a:gd name="connsiteX4" fmla="*/ 1371600 w 2057400"/>
              <a:gd name="connsiteY4" fmla="*/ 285750 h 1143000"/>
              <a:gd name="connsiteX5" fmla="*/ 1371600 w 2057400"/>
              <a:gd name="connsiteY5" fmla="*/ 1143000 h 1143000"/>
              <a:gd name="connsiteX6" fmla="*/ 2057400 w 2057400"/>
              <a:gd name="connsiteY6" fmla="*/ 1143000 h 1143000"/>
              <a:gd name="connsiteX0" fmla="*/ 0 w 2057400"/>
              <a:gd name="connsiteY0" fmla="*/ 1143000 h 1143000"/>
              <a:gd name="connsiteX1" fmla="*/ 685800 w 2057400"/>
              <a:gd name="connsiteY1" fmla="*/ 1143000 h 1143000"/>
              <a:gd name="connsiteX2" fmla="*/ 685800 w 2057400"/>
              <a:gd name="connsiteY2" fmla="*/ 285750 h 1143000"/>
              <a:gd name="connsiteX3" fmla="*/ 1028700 w 2057400"/>
              <a:gd name="connsiteY3" fmla="*/ 0 h 1143000"/>
              <a:gd name="connsiteX4" fmla="*/ 1371600 w 2057400"/>
              <a:gd name="connsiteY4" fmla="*/ 285750 h 1143000"/>
              <a:gd name="connsiteX5" fmla="*/ 1371600 w 2057400"/>
              <a:gd name="connsiteY5" fmla="*/ 1143000 h 1143000"/>
              <a:gd name="connsiteX6" fmla="*/ 2057400 w 2057400"/>
              <a:gd name="connsiteY6" fmla="*/ 1143000 h 1143000"/>
              <a:gd name="connsiteX0" fmla="*/ 0 w 2057400"/>
              <a:gd name="connsiteY0" fmla="*/ 1143000 h 1143000"/>
              <a:gd name="connsiteX1" fmla="*/ 685800 w 2057400"/>
              <a:gd name="connsiteY1" fmla="*/ 1143000 h 1143000"/>
              <a:gd name="connsiteX2" fmla="*/ 685800 w 2057400"/>
              <a:gd name="connsiteY2" fmla="*/ 285750 h 1143000"/>
              <a:gd name="connsiteX3" fmla="*/ 1028700 w 2057400"/>
              <a:gd name="connsiteY3" fmla="*/ 0 h 1143000"/>
              <a:gd name="connsiteX4" fmla="*/ 1371600 w 2057400"/>
              <a:gd name="connsiteY4" fmla="*/ 285750 h 1143000"/>
              <a:gd name="connsiteX5" fmla="*/ 1371600 w 2057400"/>
              <a:gd name="connsiteY5" fmla="*/ 1143000 h 1143000"/>
              <a:gd name="connsiteX6" fmla="*/ 2057400 w 2057400"/>
              <a:gd name="connsiteY6" fmla="*/ 1143000 h 1143000"/>
              <a:gd name="connsiteX0" fmla="*/ 0 w 1371600"/>
              <a:gd name="connsiteY0" fmla="*/ 1143000 h 1143000"/>
              <a:gd name="connsiteX1" fmla="*/ 685800 w 1371600"/>
              <a:gd name="connsiteY1" fmla="*/ 1143000 h 1143000"/>
              <a:gd name="connsiteX2" fmla="*/ 685800 w 1371600"/>
              <a:gd name="connsiteY2" fmla="*/ 285750 h 1143000"/>
              <a:gd name="connsiteX3" fmla="*/ 1028700 w 1371600"/>
              <a:gd name="connsiteY3" fmla="*/ 0 h 1143000"/>
              <a:gd name="connsiteX4" fmla="*/ 1371600 w 1371600"/>
              <a:gd name="connsiteY4" fmla="*/ 285750 h 1143000"/>
              <a:gd name="connsiteX5" fmla="*/ 1371600 w 1371600"/>
              <a:gd name="connsiteY5" fmla="*/ 1143000 h 1143000"/>
              <a:gd name="connsiteX0" fmla="*/ 0 w 685800"/>
              <a:gd name="connsiteY0" fmla="*/ 1143000 h 1143000"/>
              <a:gd name="connsiteX1" fmla="*/ 0 w 685800"/>
              <a:gd name="connsiteY1" fmla="*/ 285750 h 1143000"/>
              <a:gd name="connsiteX2" fmla="*/ 342900 w 685800"/>
              <a:gd name="connsiteY2" fmla="*/ 0 h 1143000"/>
              <a:gd name="connsiteX3" fmla="*/ 685800 w 685800"/>
              <a:gd name="connsiteY3" fmla="*/ 285750 h 1143000"/>
              <a:gd name="connsiteX4" fmla="*/ 685800 w 685800"/>
              <a:gd name="connsiteY4" fmla="*/ 1143000 h 1143000"/>
              <a:gd name="connsiteX0" fmla="*/ 0 w 685800"/>
              <a:gd name="connsiteY0" fmla="*/ 1143000 h 2286000"/>
              <a:gd name="connsiteX1" fmla="*/ 0 w 685800"/>
              <a:gd name="connsiteY1" fmla="*/ 285750 h 2286000"/>
              <a:gd name="connsiteX2" fmla="*/ 342900 w 685800"/>
              <a:gd name="connsiteY2" fmla="*/ 0 h 2286000"/>
              <a:gd name="connsiteX3" fmla="*/ 685800 w 685800"/>
              <a:gd name="connsiteY3" fmla="*/ 285750 h 2286000"/>
              <a:gd name="connsiteX4" fmla="*/ 685800 w 685800"/>
              <a:gd name="connsiteY4" fmla="*/ 2286000 h 2286000"/>
              <a:gd name="connsiteX0" fmla="*/ 0 w 685800"/>
              <a:gd name="connsiteY0" fmla="*/ 2857500 h 2857500"/>
              <a:gd name="connsiteX1" fmla="*/ 0 w 685800"/>
              <a:gd name="connsiteY1" fmla="*/ 285750 h 2857500"/>
              <a:gd name="connsiteX2" fmla="*/ 342900 w 685800"/>
              <a:gd name="connsiteY2" fmla="*/ 0 h 2857500"/>
              <a:gd name="connsiteX3" fmla="*/ 685800 w 685800"/>
              <a:gd name="connsiteY3" fmla="*/ 285750 h 2857500"/>
              <a:gd name="connsiteX4" fmla="*/ 685800 w 685800"/>
              <a:gd name="connsiteY4" fmla="*/ 2286000 h 2857500"/>
              <a:gd name="connsiteX0" fmla="*/ 0 w 685800"/>
              <a:gd name="connsiteY0" fmla="*/ 2857500 h 2857500"/>
              <a:gd name="connsiteX1" fmla="*/ 0 w 685800"/>
              <a:gd name="connsiteY1" fmla="*/ 285750 h 2857500"/>
              <a:gd name="connsiteX2" fmla="*/ 342900 w 685800"/>
              <a:gd name="connsiteY2" fmla="*/ 0 h 2857500"/>
              <a:gd name="connsiteX3" fmla="*/ 685800 w 685800"/>
              <a:gd name="connsiteY3" fmla="*/ 285750 h 2857500"/>
              <a:gd name="connsiteX4" fmla="*/ 685800 w 685800"/>
              <a:gd name="connsiteY4" fmla="*/ 2857500 h 28575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685800" h="2857500">
                <a:moveTo>
                  <a:pt x="0" y="2857500"/>
                </a:moveTo>
                <a:lnTo>
                  <a:pt x="0" y="285750"/>
                </a:lnTo>
                <a:cubicBezTo>
                  <a:pt x="57150" y="95250"/>
                  <a:pt x="228600" y="0"/>
                  <a:pt x="342900" y="0"/>
                </a:cubicBezTo>
                <a:cubicBezTo>
                  <a:pt x="457200" y="0"/>
                  <a:pt x="628650" y="95250"/>
                  <a:pt x="685800" y="285750"/>
                </a:cubicBezTo>
                <a:lnTo>
                  <a:pt x="685800" y="285750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100-00003A000000}"/>
              </a:ext>
            </a:extLst>
          </xdr:cNvPr>
          <xdr:cNvSpPr/>
        </xdr:nvSpPr>
        <xdr:spPr>
          <a:xfrm>
            <a:off x="1560635" y="1808284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59" name="Rectangle 58">
            <a:extLst>
              <a:ext uri="{FF2B5EF4-FFF2-40B4-BE49-F238E27FC236}">
                <a16:creationId xmlns:a16="http://schemas.microsoft.com/office/drawing/2014/main" id="{00000000-0008-0000-0100-00003B000000}"/>
              </a:ext>
            </a:extLst>
          </xdr:cNvPr>
          <xdr:cNvSpPr/>
        </xdr:nvSpPr>
        <xdr:spPr>
          <a:xfrm rot="16200000">
            <a:off x="965690" y="18345149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542192</xdr:colOff>
      <xdr:row>25</xdr:row>
      <xdr:rowOff>65941</xdr:rowOff>
    </xdr:from>
    <xdr:to>
      <xdr:col>1</xdr:col>
      <xdr:colOff>1635285</xdr:colOff>
      <xdr:row>25</xdr:row>
      <xdr:rowOff>722435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GrpSpPr/>
      </xdr:nvGrpSpPr>
      <xdr:grpSpPr>
        <a:xfrm>
          <a:off x="1164492" y="20608191"/>
          <a:ext cx="1093093" cy="656494"/>
          <a:chOff x="1150327" y="18874153"/>
          <a:chExt cx="1093093" cy="656494"/>
        </a:xfrm>
      </xdr:grpSpPr>
      <xdr:sp macro="" textlink="">
        <xdr:nvSpPr>
          <xdr:cNvPr id="61" name="Freeform 60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SpPr/>
        </xdr:nvSpPr>
        <xdr:spPr>
          <a:xfrm>
            <a:off x="1164981" y="19042674"/>
            <a:ext cx="1025770" cy="487973"/>
          </a:xfrm>
          <a:custGeom>
            <a:avLst/>
            <a:gdLst>
              <a:gd name="connsiteX0" fmla="*/ 0 w 2057400"/>
              <a:gd name="connsiteY0" fmla="*/ 1133475 h 1152525"/>
              <a:gd name="connsiteX1" fmla="*/ 695325 w 2057400"/>
              <a:gd name="connsiteY1" fmla="*/ 1152525 h 1152525"/>
              <a:gd name="connsiteX2" fmla="*/ 704850 w 2057400"/>
              <a:gd name="connsiteY2" fmla="*/ 333375 h 1152525"/>
              <a:gd name="connsiteX3" fmla="*/ 1047750 w 2057400"/>
              <a:gd name="connsiteY3" fmla="*/ 0 h 1152525"/>
              <a:gd name="connsiteX4" fmla="*/ 1362075 w 2057400"/>
              <a:gd name="connsiteY4" fmla="*/ 285750 h 1152525"/>
              <a:gd name="connsiteX5" fmla="*/ 1409700 w 2057400"/>
              <a:gd name="connsiteY5" fmla="*/ 1133475 h 1152525"/>
              <a:gd name="connsiteX6" fmla="*/ 2057400 w 2057400"/>
              <a:gd name="connsiteY6" fmla="*/ 1123950 h 1152525"/>
              <a:gd name="connsiteX0" fmla="*/ 0 w 2038350"/>
              <a:gd name="connsiteY0" fmla="*/ 1143000 h 1152525"/>
              <a:gd name="connsiteX1" fmla="*/ 676275 w 2038350"/>
              <a:gd name="connsiteY1" fmla="*/ 1152525 h 1152525"/>
              <a:gd name="connsiteX2" fmla="*/ 685800 w 2038350"/>
              <a:gd name="connsiteY2" fmla="*/ 333375 h 1152525"/>
              <a:gd name="connsiteX3" fmla="*/ 1028700 w 2038350"/>
              <a:gd name="connsiteY3" fmla="*/ 0 h 1152525"/>
              <a:gd name="connsiteX4" fmla="*/ 1343025 w 2038350"/>
              <a:gd name="connsiteY4" fmla="*/ 285750 h 1152525"/>
              <a:gd name="connsiteX5" fmla="*/ 1390650 w 2038350"/>
              <a:gd name="connsiteY5" fmla="*/ 1133475 h 1152525"/>
              <a:gd name="connsiteX6" fmla="*/ 2038350 w 2038350"/>
              <a:gd name="connsiteY6" fmla="*/ 1123950 h 1152525"/>
              <a:gd name="connsiteX0" fmla="*/ 0 w 2038350"/>
              <a:gd name="connsiteY0" fmla="*/ 1143000 h 1143000"/>
              <a:gd name="connsiteX1" fmla="*/ 685800 w 2038350"/>
              <a:gd name="connsiteY1" fmla="*/ 1143000 h 1143000"/>
              <a:gd name="connsiteX2" fmla="*/ 685800 w 2038350"/>
              <a:gd name="connsiteY2" fmla="*/ 333375 h 1143000"/>
              <a:gd name="connsiteX3" fmla="*/ 1028700 w 2038350"/>
              <a:gd name="connsiteY3" fmla="*/ 0 h 1143000"/>
              <a:gd name="connsiteX4" fmla="*/ 1343025 w 2038350"/>
              <a:gd name="connsiteY4" fmla="*/ 285750 h 1143000"/>
              <a:gd name="connsiteX5" fmla="*/ 1390650 w 2038350"/>
              <a:gd name="connsiteY5" fmla="*/ 1133475 h 1143000"/>
              <a:gd name="connsiteX6" fmla="*/ 2038350 w 2038350"/>
              <a:gd name="connsiteY6" fmla="*/ 1123950 h 1143000"/>
              <a:gd name="connsiteX0" fmla="*/ 0 w 2038350"/>
              <a:gd name="connsiteY0" fmla="*/ 1143000 h 1143000"/>
              <a:gd name="connsiteX1" fmla="*/ 685800 w 2038350"/>
              <a:gd name="connsiteY1" fmla="*/ 1143000 h 1143000"/>
              <a:gd name="connsiteX2" fmla="*/ 685800 w 2038350"/>
              <a:gd name="connsiteY2" fmla="*/ 333375 h 1143000"/>
              <a:gd name="connsiteX3" fmla="*/ 1028700 w 2038350"/>
              <a:gd name="connsiteY3" fmla="*/ 0 h 1143000"/>
              <a:gd name="connsiteX4" fmla="*/ 1343025 w 2038350"/>
              <a:gd name="connsiteY4" fmla="*/ 285750 h 1143000"/>
              <a:gd name="connsiteX5" fmla="*/ 1371600 w 2038350"/>
              <a:gd name="connsiteY5" fmla="*/ 1143000 h 1143000"/>
              <a:gd name="connsiteX6" fmla="*/ 2038350 w 2038350"/>
              <a:gd name="connsiteY6" fmla="*/ 1123950 h 1143000"/>
              <a:gd name="connsiteX0" fmla="*/ 0 w 2057400"/>
              <a:gd name="connsiteY0" fmla="*/ 1143000 h 1143000"/>
              <a:gd name="connsiteX1" fmla="*/ 685800 w 2057400"/>
              <a:gd name="connsiteY1" fmla="*/ 1143000 h 1143000"/>
              <a:gd name="connsiteX2" fmla="*/ 685800 w 2057400"/>
              <a:gd name="connsiteY2" fmla="*/ 333375 h 1143000"/>
              <a:gd name="connsiteX3" fmla="*/ 1028700 w 2057400"/>
              <a:gd name="connsiteY3" fmla="*/ 0 h 1143000"/>
              <a:gd name="connsiteX4" fmla="*/ 1343025 w 2057400"/>
              <a:gd name="connsiteY4" fmla="*/ 285750 h 1143000"/>
              <a:gd name="connsiteX5" fmla="*/ 1371600 w 2057400"/>
              <a:gd name="connsiteY5" fmla="*/ 1143000 h 1143000"/>
              <a:gd name="connsiteX6" fmla="*/ 2057400 w 2057400"/>
              <a:gd name="connsiteY6" fmla="*/ 1143000 h 1143000"/>
              <a:gd name="connsiteX0" fmla="*/ 0 w 2057400"/>
              <a:gd name="connsiteY0" fmla="*/ 1143000 h 1143000"/>
              <a:gd name="connsiteX1" fmla="*/ 685800 w 2057400"/>
              <a:gd name="connsiteY1" fmla="*/ 1143000 h 1143000"/>
              <a:gd name="connsiteX2" fmla="*/ 685800 w 2057400"/>
              <a:gd name="connsiteY2" fmla="*/ 333375 h 1143000"/>
              <a:gd name="connsiteX3" fmla="*/ 1028700 w 2057400"/>
              <a:gd name="connsiteY3" fmla="*/ 0 h 1143000"/>
              <a:gd name="connsiteX4" fmla="*/ 1371600 w 2057400"/>
              <a:gd name="connsiteY4" fmla="*/ 285750 h 1143000"/>
              <a:gd name="connsiteX5" fmla="*/ 1371600 w 2057400"/>
              <a:gd name="connsiteY5" fmla="*/ 1143000 h 1143000"/>
              <a:gd name="connsiteX6" fmla="*/ 2057400 w 2057400"/>
              <a:gd name="connsiteY6" fmla="*/ 1143000 h 1143000"/>
              <a:gd name="connsiteX0" fmla="*/ 0 w 2057400"/>
              <a:gd name="connsiteY0" fmla="*/ 1143000 h 1143000"/>
              <a:gd name="connsiteX1" fmla="*/ 685800 w 2057400"/>
              <a:gd name="connsiteY1" fmla="*/ 1143000 h 1143000"/>
              <a:gd name="connsiteX2" fmla="*/ 685800 w 2057400"/>
              <a:gd name="connsiteY2" fmla="*/ 285750 h 1143000"/>
              <a:gd name="connsiteX3" fmla="*/ 1028700 w 2057400"/>
              <a:gd name="connsiteY3" fmla="*/ 0 h 1143000"/>
              <a:gd name="connsiteX4" fmla="*/ 1371600 w 2057400"/>
              <a:gd name="connsiteY4" fmla="*/ 285750 h 1143000"/>
              <a:gd name="connsiteX5" fmla="*/ 1371600 w 2057400"/>
              <a:gd name="connsiteY5" fmla="*/ 1143000 h 1143000"/>
              <a:gd name="connsiteX6" fmla="*/ 2057400 w 2057400"/>
              <a:gd name="connsiteY6" fmla="*/ 1143000 h 1143000"/>
              <a:gd name="connsiteX0" fmla="*/ 0 w 2057400"/>
              <a:gd name="connsiteY0" fmla="*/ 1143000 h 1143000"/>
              <a:gd name="connsiteX1" fmla="*/ 685800 w 2057400"/>
              <a:gd name="connsiteY1" fmla="*/ 1143000 h 1143000"/>
              <a:gd name="connsiteX2" fmla="*/ 685800 w 2057400"/>
              <a:gd name="connsiteY2" fmla="*/ 285750 h 1143000"/>
              <a:gd name="connsiteX3" fmla="*/ 1028700 w 2057400"/>
              <a:gd name="connsiteY3" fmla="*/ 0 h 1143000"/>
              <a:gd name="connsiteX4" fmla="*/ 1371600 w 2057400"/>
              <a:gd name="connsiteY4" fmla="*/ 285750 h 1143000"/>
              <a:gd name="connsiteX5" fmla="*/ 1371600 w 2057400"/>
              <a:gd name="connsiteY5" fmla="*/ 1143000 h 1143000"/>
              <a:gd name="connsiteX6" fmla="*/ 2057400 w 2057400"/>
              <a:gd name="connsiteY6" fmla="*/ 1143000 h 1143000"/>
              <a:gd name="connsiteX0" fmla="*/ 0 w 2057400"/>
              <a:gd name="connsiteY0" fmla="*/ 1143000 h 1143000"/>
              <a:gd name="connsiteX1" fmla="*/ 685800 w 2057400"/>
              <a:gd name="connsiteY1" fmla="*/ 1143000 h 1143000"/>
              <a:gd name="connsiteX2" fmla="*/ 685800 w 2057400"/>
              <a:gd name="connsiteY2" fmla="*/ 285750 h 1143000"/>
              <a:gd name="connsiteX3" fmla="*/ 1028700 w 2057400"/>
              <a:gd name="connsiteY3" fmla="*/ 0 h 1143000"/>
              <a:gd name="connsiteX4" fmla="*/ 1371600 w 2057400"/>
              <a:gd name="connsiteY4" fmla="*/ 285750 h 1143000"/>
              <a:gd name="connsiteX5" fmla="*/ 1371600 w 2057400"/>
              <a:gd name="connsiteY5" fmla="*/ 1143000 h 1143000"/>
              <a:gd name="connsiteX6" fmla="*/ 2057400 w 2057400"/>
              <a:gd name="connsiteY6" fmla="*/ 1143000 h 1143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2057400" h="1143000">
                <a:moveTo>
                  <a:pt x="0" y="1143000"/>
                </a:moveTo>
                <a:lnTo>
                  <a:pt x="685800" y="1143000"/>
                </a:lnTo>
                <a:lnTo>
                  <a:pt x="685800" y="285750"/>
                </a:lnTo>
                <a:cubicBezTo>
                  <a:pt x="742950" y="95250"/>
                  <a:pt x="914400" y="0"/>
                  <a:pt x="1028700" y="0"/>
                </a:cubicBezTo>
                <a:cubicBezTo>
                  <a:pt x="1143000" y="0"/>
                  <a:pt x="1314450" y="95250"/>
                  <a:pt x="1371600" y="285750"/>
                </a:cubicBezTo>
                <a:lnTo>
                  <a:pt x="1371600" y="1143000"/>
                </a:lnTo>
                <a:lnTo>
                  <a:pt x="2057400" y="114300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Rectangle 61">
            <a:extLst>
              <a:ext uri="{FF2B5EF4-FFF2-40B4-BE49-F238E27FC236}">
                <a16:creationId xmlns:a16="http://schemas.microsoft.com/office/drawing/2014/main" id="{00000000-0008-0000-0100-00003E000000}"/>
              </a:ext>
            </a:extLst>
          </xdr:cNvPr>
          <xdr:cNvSpPr/>
        </xdr:nvSpPr>
        <xdr:spPr>
          <a:xfrm>
            <a:off x="1502020" y="18874153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63" name="Rectangle 62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SpPr/>
        </xdr:nvSpPr>
        <xdr:spPr>
          <a:xfrm>
            <a:off x="1890347" y="1932109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SpPr/>
        </xdr:nvSpPr>
        <xdr:spPr>
          <a:xfrm>
            <a:off x="1150327" y="19343077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498232</xdr:colOff>
      <xdr:row>26</xdr:row>
      <xdr:rowOff>48977</xdr:rowOff>
    </xdr:from>
    <xdr:to>
      <xdr:col>1</xdr:col>
      <xdr:colOff>1707173</xdr:colOff>
      <xdr:row>26</xdr:row>
      <xdr:rowOff>770058</xdr:rowOff>
    </xdr:to>
    <xdr:grpSp>
      <xdr:nvGrpSpPr>
        <xdr:cNvPr id="65" name="Group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GrpSpPr/>
      </xdr:nvGrpSpPr>
      <xdr:grpSpPr>
        <a:xfrm>
          <a:off x="1120532" y="21429427"/>
          <a:ext cx="1208941" cy="721081"/>
          <a:chOff x="1106367" y="19665462"/>
          <a:chExt cx="1254202" cy="748077"/>
        </a:xfrm>
      </xdr:grpSpPr>
      <xdr:sp macro="" textlink="">
        <xdr:nvSpPr>
          <xdr:cNvPr id="66" name="Freeform 65">
            <a:extLst>
              <a:ext uri="{FF2B5EF4-FFF2-40B4-BE49-F238E27FC236}">
                <a16:creationId xmlns:a16="http://schemas.microsoft.com/office/drawing/2014/main" id="{00000000-0008-0000-0100-000042000000}"/>
              </a:ext>
            </a:extLst>
          </xdr:cNvPr>
          <xdr:cNvSpPr/>
        </xdr:nvSpPr>
        <xdr:spPr>
          <a:xfrm>
            <a:off x="1106367" y="19841308"/>
            <a:ext cx="1222715" cy="572231"/>
          </a:xfrm>
          <a:custGeom>
            <a:avLst/>
            <a:gdLst>
              <a:gd name="connsiteX0" fmla="*/ 0 w 2428875"/>
              <a:gd name="connsiteY0" fmla="*/ 1133475 h 1133475"/>
              <a:gd name="connsiteX1" fmla="*/ 704850 w 2428875"/>
              <a:gd name="connsiteY1" fmla="*/ 866775 h 1133475"/>
              <a:gd name="connsiteX2" fmla="*/ 714375 w 2428875"/>
              <a:gd name="connsiteY2" fmla="*/ 9525 h 1133475"/>
              <a:gd name="connsiteX3" fmla="*/ 1724025 w 2428875"/>
              <a:gd name="connsiteY3" fmla="*/ 0 h 1133475"/>
              <a:gd name="connsiteX4" fmla="*/ 1743075 w 2428875"/>
              <a:gd name="connsiteY4" fmla="*/ 847725 h 1133475"/>
              <a:gd name="connsiteX5" fmla="*/ 2428875 w 2428875"/>
              <a:gd name="connsiteY5" fmla="*/ 295275 h 1133475"/>
              <a:gd name="connsiteX0" fmla="*/ 0 w 2390775"/>
              <a:gd name="connsiteY0" fmla="*/ 1133475 h 1133475"/>
              <a:gd name="connsiteX1" fmla="*/ 704850 w 2390775"/>
              <a:gd name="connsiteY1" fmla="*/ 866775 h 1133475"/>
              <a:gd name="connsiteX2" fmla="*/ 714375 w 2390775"/>
              <a:gd name="connsiteY2" fmla="*/ 9525 h 1133475"/>
              <a:gd name="connsiteX3" fmla="*/ 1724025 w 2390775"/>
              <a:gd name="connsiteY3" fmla="*/ 0 h 1133475"/>
              <a:gd name="connsiteX4" fmla="*/ 1743075 w 2390775"/>
              <a:gd name="connsiteY4" fmla="*/ 847725 h 1133475"/>
              <a:gd name="connsiteX5" fmla="*/ 2390775 w 2390775"/>
              <a:gd name="connsiteY5" fmla="*/ 552450 h 1133475"/>
              <a:gd name="connsiteX0" fmla="*/ 0 w 2390775"/>
              <a:gd name="connsiteY0" fmla="*/ 1133475 h 1133475"/>
              <a:gd name="connsiteX1" fmla="*/ 704850 w 2390775"/>
              <a:gd name="connsiteY1" fmla="*/ 866775 h 1133475"/>
              <a:gd name="connsiteX2" fmla="*/ 714375 w 2390775"/>
              <a:gd name="connsiteY2" fmla="*/ 9525 h 1133475"/>
              <a:gd name="connsiteX3" fmla="*/ 1724025 w 2390775"/>
              <a:gd name="connsiteY3" fmla="*/ 0 h 1133475"/>
              <a:gd name="connsiteX4" fmla="*/ 1752600 w 2390775"/>
              <a:gd name="connsiteY4" fmla="*/ 981075 h 1133475"/>
              <a:gd name="connsiteX5" fmla="*/ 2390775 w 2390775"/>
              <a:gd name="connsiteY5" fmla="*/ 552450 h 1133475"/>
              <a:gd name="connsiteX0" fmla="*/ 0 w 2390775"/>
              <a:gd name="connsiteY0" fmla="*/ 1133475 h 1133475"/>
              <a:gd name="connsiteX1" fmla="*/ 704850 w 2390775"/>
              <a:gd name="connsiteY1" fmla="*/ 866775 h 1133475"/>
              <a:gd name="connsiteX2" fmla="*/ 714375 w 2390775"/>
              <a:gd name="connsiteY2" fmla="*/ 9525 h 1133475"/>
              <a:gd name="connsiteX3" fmla="*/ 1724025 w 2390775"/>
              <a:gd name="connsiteY3" fmla="*/ 0 h 1133475"/>
              <a:gd name="connsiteX4" fmla="*/ 1724025 w 2390775"/>
              <a:gd name="connsiteY4" fmla="*/ 847725 h 1133475"/>
              <a:gd name="connsiteX5" fmla="*/ 2390775 w 2390775"/>
              <a:gd name="connsiteY5" fmla="*/ 552450 h 1133475"/>
              <a:gd name="connsiteX0" fmla="*/ 0 w 2409825"/>
              <a:gd name="connsiteY0" fmla="*/ 1133475 h 1133475"/>
              <a:gd name="connsiteX1" fmla="*/ 704850 w 2409825"/>
              <a:gd name="connsiteY1" fmla="*/ 866775 h 1133475"/>
              <a:gd name="connsiteX2" fmla="*/ 714375 w 2409825"/>
              <a:gd name="connsiteY2" fmla="*/ 9525 h 1133475"/>
              <a:gd name="connsiteX3" fmla="*/ 1724025 w 2409825"/>
              <a:gd name="connsiteY3" fmla="*/ 0 h 1133475"/>
              <a:gd name="connsiteX4" fmla="*/ 1724025 w 2409825"/>
              <a:gd name="connsiteY4" fmla="*/ 847725 h 1133475"/>
              <a:gd name="connsiteX5" fmla="*/ 2409825 w 2409825"/>
              <a:gd name="connsiteY5" fmla="*/ 561975 h 1133475"/>
              <a:gd name="connsiteX0" fmla="*/ 0 w 2400300"/>
              <a:gd name="connsiteY0" fmla="*/ 1133475 h 1133475"/>
              <a:gd name="connsiteX1" fmla="*/ 695325 w 2400300"/>
              <a:gd name="connsiteY1" fmla="*/ 866775 h 1133475"/>
              <a:gd name="connsiteX2" fmla="*/ 704850 w 2400300"/>
              <a:gd name="connsiteY2" fmla="*/ 9525 h 1133475"/>
              <a:gd name="connsiteX3" fmla="*/ 1714500 w 2400300"/>
              <a:gd name="connsiteY3" fmla="*/ 0 h 1133475"/>
              <a:gd name="connsiteX4" fmla="*/ 1714500 w 2400300"/>
              <a:gd name="connsiteY4" fmla="*/ 847725 h 1133475"/>
              <a:gd name="connsiteX5" fmla="*/ 2400300 w 2400300"/>
              <a:gd name="connsiteY5" fmla="*/ 561975 h 1133475"/>
              <a:gd name="connsiteX0" fmla="*/ 0 w 2400300"/>
              <a:gd name="connsiteY0" fmla="*/ 1133475 h 1133475"/>
              <a:gd name="connsiteX1" fmla="*/ 685799 w 2400300"/>
              <a:gd name="connsiteY1" fmla="*/ 847725 h 1133475"/>
              <a:gd name="connsiteX2" fmla="*/ 704850 w 2400300"/>
              <a:gd name="connsiteY2" fmla="*/ 9525 h 1133475"/>
              <a:gd name="connsiteX3" fmla="*/ 1714500 w 2400300"/>
              <a:gd name="connsiteY3" fmla="*/ 0 h 1133475"/>
              <a:gd name="connsiteX4" fmla="*/ 1714500 w 2400300"/>
              <a:gd name="connsiteY4" fmla="*/ 847725 h 1133475"/>
              <a:gd name="connsiteX5" fmla="*/ 2400300 w 2400300"/>
              <a:gd name="connsiteY5" fmla="*/ 561975 h 1133475"/>
              <a:gd name="connsiteX0" fmla="*/ 0 w 2400300"/>
              <a:gd name="connsiteY0" fmla="*/ 1133475 h 1133475"/>
              <a:gd name="connsiteX1" fmla="*/ 685799 w 2400300"/>
              <a:gd name="connsiteY1" fmla="*/ 847725 h 1133475"/>
              <a:gd name="connsiteX2" fmla="*/ 685799 w 2400300"/>
              <a:gd name="connsiteY2" fmla="*/ 276225 h 1133475"/>
              <a:gd name="connsiteX3" fmla="*/ 1714500 w 2400300"/>
              <a:gd name="connsiteY3" fmla="*/ 0 h 1133475"/>
              <a:gd name="connsiteX4" fmla="*/ 1714500 w 2400300"/>
              <a:gd name="connsiteY4" fmla="*/ 847725 h 1133475"/>
              <a:gd name="connsiteX5" fmla="*/ 2400300 w 2400300"/>
              <a:gd name="connsiteY5" fmla="*/ 561975 h 1133475"/>
              <a:gd name="connsiteX0" fmla="*/ 0 w 2400300"/>
              <a:gd name="connsiteY0" fmla="*/ 857250 h 857250"/>
              <a:gd name="connsiteX1" fmla="*/ 685799 w 2400300"/>
              <a:gd name="connsiteY1" fmla="*/ 571500 h 857250"/>
              <a:gd name="connsiteX2" fmla="*/ 685799 w 2400300"/>
              <a:gd name="connsiteY2" fmla="*/ 0 h 857250"/>
              <a:gd name="connsiteX3" fmla="*/ 1714499 w 2400300"/>
              <a:gd name="connsiteY3" fmla="*/ 0 h 857250"/>
              <a:gd name="connsiteX4" fmla="*/ 1714500 w 2400300"/>
              <a:gd name="connsiteY4" fmla="*/ 571500 h 857250"/>
              <a:gd name="connsiteX5" fmla="*/ 2400300 w 2400300"/>
              <a:gd name="connsiteY5" fmla="*/ 285750 h 8572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2400300" h="857250">
                <a:moveTo>
                  <a:pt x="0" y="857250"/>
                </a:moveTo>
                <a:lnTo>
                  <a:pt x="685799" y="571500"/>
                </a:lnTo>
                <a:lnTo>
                  <a:pt x="685799" y="0"/>
                </a:lnTo>
                <a:lnTo>
                  <a:pt x="1714499" y="0"/>
                </a:lnTo>
                <a:cubicBezTo>
                  <a:pt x="1714499" y="190500"/>
                  <a:pt x="1714500" y="381000"/>
                  <a:pt x="1714500" y="571500"/>
                </a:cubicBezTo>
                <a:lnTo>
                  <a:pt x="2400300" y="28575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SpPr/>
        </xdr:nvSpPr>
        <xdr:spPr>
          <a:xfrm>
            <a:off x="1567962" y="19665462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68" name="Rectangle 67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SpPr/>
        </xdr:nvSpPr>
        <xdr:spPr>
          <a:xfrm rot="16200000">
            <a:off x="1178171" y="19949747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69" name="Rectangle 68">
            <a:extLst>
              <a:ext uri="{FF2B5EF4-FFF2-40B4-BE49-F238E27FC236}">
                <a16:creationId xmlns:a16="http://schemas.microsoft.com/office/drawing/2014/main" id="{00000000-0008-0000-0100-000045000000}"/>
              </a:ext>
            </a:extLst>
          </xdr:cNvPr>
          <xdr:cNvSpPr/>
        </xdr:nvSpPr>
        <xdr:spPr>
          <a:xfrm rot="19800000">
            <a:off x="2007496" y="2013886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442793</xdr:colOff>
      <xdr:row>27</xdr:row>
      <xdr:rowOff>99729</xdr:rowOff>
    </xdr:from>
    <xdr:to>
      <xdr:col>1</xdr:col>
      <xdr:colOff>2006111</xdr:colOff>
      <xdr:row>27</xdr:row>
      <xdr:rowOff>665367</xdr:rowOff>
    </xdr:to>
    <xdr:grpSp>
      <xdr:nvGrpSpPr>
        <xdr:cNvPr id="70" name="Group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GrpSpPr/>
      </xdr:nvGrpSpPr>
      <xdr:grpSpPr>
        <a:xfrm>
          <a:off x="1065093" y="22318379"/>
          <a:ext cx="1563318" cy="565638"/>
          <a:chOff x="1050928" y="20578479"/>
          <a:chExt cx="1563318" cy="565638"/>
        </a:xfrm>
      </xdr:grpSpPr>
      <xdr:grpSp>
        <xdr:nvGrpSpPr>
          <xdr:cNvPr id="71" name="Group 70">
            <a:extLst>
              <a:ext uri="{FF2B5EF4-FFF2-40B4-BE49-F238E27FC236}">
                <a16:creationId xmlns:a16="http://schemas.microsoft.com/office/drawing/2014/main" id="{00000000-0008-0000-0100-000047000000}"/>
              </a:ext>
            </a:extLst>
          </xdr:cNvPr>
          <xdr:cNvGrpSpPr/>
        </xdr:nvGrpSpPr>
        <xdr:grpSpPr>
          <a:xfrm>
            <a:off x="1050928" y="20717690"/>
            <a:ext cx="1563318" cy="426427"/>
            <a:chOff x="1050928" y="20754325"/>
            <a:chExt cx="1563318" cy="426427"/>
          </a:xfrm>
        </xdr:grpSpPr>
        <xdr:sp macro="" textlink="">
          <xdr:nvSpPr>
            <xdr:cNvPr id="73" name="Freeform 72">
              <a:extLst>
                <a:ext uri="{FF2B5EF4-FFF2-40B4-BE49-F238E27FC236}">
                  <a16:creationId xmlns:a16="http://schemas.microsoft.com/office/drawing/2014/main" id="{00000000-0008-0000-0100-000049000000}"/>
                </a:ext>
              </a:extLst>
            </xdr:cNvPr>
            <xdr:cNvSpPr/>
          </xdr:nvSpPr>
          <xdr:spPr>
            <a:xfrm>
              <a:off x="1050928" y="20793808"/>
              <a:ext cx="1374284" cy="200812"/>
            </a:xfrm>
            <a:custGeom>
              <a:avLst/>
              <a:gdLst>
                <a:gd name="connsiteX0" fmla="*/ 1038225 w 5162550"/>
                <a:gd name="connsiteY0" fmla="*/ 1438275 h 2590800"/>
                <a:gd name="connsiteX1" fmla="*/ 1038225 w 5162550"/>
                <a:gd name="connsiteY1" fmla="*/ 1438275 h 2590800"/>
                <a:gd name="connsiteX2" fmla="*/ 352425 w 5162550"/>
                <a:gd name="connsiteY2" fmla="*/ 1438275 h 2590800"/>
                <a:gd name="connsiteX3" fmla="*/ 0 w 5162550"/>
                <a:gd name="connsiteY3" fmla="*/ 1743075 h 2590800"/>
                <a:gd name="connsiteX4" fmla="*/ 9525 w 5162550"/>
                <a:gd name="connsiteY4" fmla="*/ 2305050 h 2590800"/>
                <a:gd name="connsiteX5" fmla="*/ 371475 w 5162550"/>
                <a:gd name="connsiteY5" fmla="*/ 2590800 h 2590800"/>
                <a:gd name="connsiteX6" fmla="*/ 5162550 w 5162550"/>
                <a:gd name="connsiteY6" fmla="*/ 2590800 h 2590800"/>
                <a:gd name="connsiteX7" fmla="*/ 5162550 w 5162550"/>
                <a:gd name="connsiteY7" fmla="*/ 0 h 2590800"/>
                <a:gd name="connsiteX0" fmla="*/ 1038225 w 5162550"/>
                <a:gd name="connsiteY0" fmla="*/ 1295400 h 2447925"/>
                <a:gd name="connsiteX1" fmla="*/ 1038225 w 5162550"/>
                <a:gd name="connsiteY1" fmla="*/ 1295400 h 2447925"/>
                <a:gd name="connsiteX2" fmla="*/ 352425 w 5162550"/>
                <a:gd name="connsiteY2" fmla="*/ 1295400 h 2447925"/>
                <a:gd name="connsiteX3" fmla="*/ 0 w 5162550"/>
                <a:gd name="connsiteY3" fmla="*/ 1600200 h 2447925"/>
                <a:gd name="connsiteX4" fmla="*/ 9525 w 5162550"/>
                <a:gd name="connsiteY4" fmla="*/ 2162175 h 2447925"/>
                <a:gd name="connsiteX5" fmla="*/ 371475 w 5162550"/>
                <a:gd name="connsiteY5" fmla="*/ 2447925 h 2447925"/>
                <a:gd name="connsiteX6" fmla="*/ 5162550 w 5162550"/>
                <a:gd name="connsiteY6" fmla="*/ 2447925 h 2447925"/>
                <a:gd name="connsiteX7" fmla="*/ 4800600 w 5162550"/>
                <a:gd name="connsiteY7" fmla="*/ 0 h 2447925"/>
                <a:gd name="connsiteX0" fmla="*/ 1038225 w 5162550"/>
                <a:gd name="connsiteY0" fmla="*/ 1428750 h 2581275"/>
                <a:gd name="connsiteX1" fmla="*/ 1038225 w 5162550"/>
                <a:gd name="connsiteY1" fmla="*/ 1428750 h 2581275"/>
                <a:gd name="connsiteX2" fmla="*/ 352425 w 5162550"/>
                <a:gd name="connsiteY2" fmla="*/ 1428750 h 2581275"/>
                <a:gd name="connsiteX3" fmla="*/ 0 w 5162550"/>
                <a:gd name="connsiteY3" fmla="*/ 1733550 h 2581275"/>
                <a:gd name="connsiteX4" fmla="*/ 9525 w 5162550"/>
                <a:gd name="connsiteY4" fmla="*/ 2295525 h 2581275"/>
                <a:gd name="connsiteX5" fmla="*/ 371475 w 5162550"/>
                <a:gd name="connsiteY5" fmla="*/ 2581275 h 2581275"/>
                <a:gd name="connsiteX6" fmla="*/ 5162550 w 5162550"/>
                <a:gd name="connsiteY6" fmla="*/ 2581275 h 2581275"/>
                <a:gd name="connsiteX7" fmla="*/ 5153025 w 5162550"/>
                <a:gd name="connsiteY7" fmla="*/ 0 h 2581275"/>
                <a:gd name="connsiteX0" fmla="*/ 1038225 w 5153025"/>
                <a:gd name="connsiteY0" fmla="*/ 1428750 h 2581275"/>
                <a:gd name="connsiteX1" fmla="*/ 1038225 w 5153025"/>
                <a:gd name="connsiteY1" fmla="*/ 1428750 h 2581275"/>
                <a:gd name="connsiteX2" fmla="*/ 352425 w 5153025"/>
                <a:gd name="connsiteY2" fmla="*/ 1428750 h 2581275"/>
                <a:gd name="connsiteX3" fmla="*/ 0 w 5153025"/>
                <a:gd name="connsiteY3" fmla="*/ 1733550 h 2581275"/>
                <a:gd name="connsiteX4" fmla="*/ 9525 w 5153025"/>
                <a:gd name="connsiteY4" fmla="*/ 2295525 h 2581275"/>
                <a:gd name="connsiteX5" fmla="*/ 371475 w 5153025"/>
                <a:gd name="connsiteY5" fmla="*/ 2581275 h 2581275"/>
                <a:gd name="connsiteX6" fmla="*/ 5153025 w 5153025"/>
                <a:gd name="connsiteY6" fmla="*/ 2571750 h 2581275"/>
                <a:gd name="connsiteX7" fmla="*/ 5153025 w 5153025"/>
                <a:gd name="connsiteY7" fmla="*/ 0 h 2581275"/>
                <a:gd name="connsiteX0" fmla="*/ 1038225 w 5153025"/>
                <a:gd name="connsiteY0" fmla="*/ 1428750 h 2581275"/>
                <a:gd name="connsiteX1" fmla="*/ 1038226 w 5153025"/>
                <a:gd name="connsiteY1" fmla="*/ 1428750 h 2581275"/>
                <a:gd name="connsiteX2" fmla="*/ 352425 w 5153025"/>
                <a:gd name="connsiteY2" fmla="*/ 1428750 h 2581275"/>
                <a:gd name="connsiteX3" fmla="*/ 0 w 5153025"/>
                <a:gd name="connsiteY3" fmla="*/ 1733550 h 2581275"/>
                <a:gd name="connsiteX4" fmla="*/ 9525 w 5153025"/>
                <a:gd name="connsiteY4" fmla="*/ 2295525 h 2581275"/>
                <a:gd name="connsiteX5" fmla="*/ 371475 w 5153025"/>
                <a:gd name="connsiteY5" fmla="*/ 2581275 h 2581275"/>
                <a:gd name="connsiteX6" fmla="*/ 5153025 w 5153025"/>
                <a:gd name="connsiteY6" fmla="*/ 2571750 h 2581275"/>
                <a:gd name="connsiteX7" fmla="*/ 5153025 w 5153025"/>
                <a:gd name="connsiteY7" fmla="*/ 0 h 2581275"/>
                <a:gd name="connsiteX0" fmla="*/ 1038225 w 5153025"/>
                <a:gd name="connsiteY0" fmla="*/ 1428750 h 2581275"/>
                <a:gd name="connsiteX1" fmla="*/ 1038226 w 5153025"/>
                <a:gd name="connsiteY1" fmla="*/ 1428750 h 2581275"/>
                <a:gd name="connsiteX2" fmla="*/ 352425 w 5153025"/>
                <a:gd name="connsiteY2" fmla="*/ 1428750 h 2581275"/>
                <a:gd name="connsiteX3" fmla="*/ 0 w 5153025"/>
                <a:gd name="connsiteY3" fmla="*/ 1733550 h 2581275"/>
                <a:gd name="connsiteX4" fmla="*/ 9525 w 5153025"/>
                <a:gd name="connsiteY4" fmla="*/ 2295525 h 2581275"/>
                <a:gd name="connsiteX5" fmla="*/ 371475 w 5153025"/>
                <a:gd name="connsiteY5" fmla="*/ 2581275 h 2581275"/>
                <a:gd name="connsiteX6" fmla="*/ 5153025 w 5153025"/>
                <a:gd name="connsiteY6" fmla="*/ 2571750 h 2581275"/>
                <a:gd name="connsiteX7" fmla="*/ 5153025 w 5153025"/>
                <a:gd name="connsiteY7" fmla="*/ 0 h 2581275"/>
                <a:gd name="connsiteX0" fmla="*/ 1038225 w 5153025"/>
                <a:gd name="connsiteY0" fmla="*/ 1428750 h 2581275"/>
                <a:gd name="connsiteX1" fmla="*/ 1038226 w 5153025"/>
                <a:gd name="connsiteY1" fmla="*/ 1428750 h 2581275"/>
                <a:gd name="connsiteX2" fmla="*/ 352425 w 5153025"/>
                <a:gd name="connsiteY2" fmla="*/ 1428750 h 2581275"/>
                <a:gd name="connsiteX3" fmla="*/ 0 w 5153025"/>
                <a:gd name="connsiteY3" fmla="*/ 1733550 h 2581275"/>
                <a:gd name="connsiteX4" fmla="*/ 9525 w 5153025"/>
                <a:gd name="connsiteY4" fmla="*/ 2295525 h 2581275"/>
                <a:gd name="connsiteX5" fmla="*/ 371475 w 5153025"/>
                <a:gd name="connsiteY5" fmla="*/ 2581275 h 2581275"/>
                <a:gd name="connsiteX6" fmla="*/ 5153025 w 5153025"/>
                <a:gd name="connsiteY6" fmla="*/ 2571750 h 2581275"/>
                <a:gd name="connsiteX7" fmla="*/ 5153025 w 5153025"/>
                <a:gd name="connsiteY7" fmla="*/ 0 h 2581275"/>
                <a:gd name="connsiteX0" fmla="*/ 1038225 w 5153025"/>
                <a:gd name="connsiteY0" fmla="*/ 1428750 h 2581275"/>
                <a:gd name="connsiteX1" fmla="*/ 1038226 w 5153025"/>
                <a:gd name="connsiteY1" fmla="*/ 1428750 h 2581275"/>
                <a:gd name="connsiteX2" fmla="*/ 352425 w 5153025"/>
                <a:gd name="connsiteY2" fmla="*/ 1428750 h 2581275"/>
                <a:gd name="connsiteX3" fmla="*/ 0 w 5153025"/>
                <a:gd name="connsiteY3" fmla="*/ 1733550 h 2581275"/>
                <a:gd name="connsiteX4" fmla="*/ 9525 w 5153025"/>
                <a:gd name="connsiteY4" fmla="*/ 2295525 h 2581275"/>
                <a:gd name="connsiteX5" fmla="*/ 371475 w 5153025"/>
                <a:gd name="connsiteY5" fmla="*/ 2581275 h 2581275"/>
                <a:gd name="connsiteX6" fmla="*/ 5153025 w 5153025"/>
                <a:gd name="connsiteY6" fmla="*/ 2571750 h 2581275"/>
                <a:gd name="connsiteX7" fmla="*/ 5153025 w 5153025"/>
                <a:gd name="connsiteY7" fmla="*/ 0 h 2581275"/>
                <a:gd name="connsiteX0" fmla="*/ 1038225 w 5153025"/>
                <a:gd name="connsiteY0" fmla="*/ 1428750 h 2581275"/>
                <a:gd name="connsiteX1" fmla="*/ 1038226 w 5153025"/>
                <a:gd name="connsiteY1" fmla="*/ 1428750 h 2581275"/>
                <a:gd name="connsiteX2" fmla="*/ 352425 w 5153025"/>
                <a:gd name="connsiteY2" fmla="*/ 1428750 h 2581275"/>
                <a:gd name="connsiteX3" fmla="*/ 0 w 5153025"/>
                <a:gd name="connsiteY3" fmla="*/ 1733550 h 2581275"/>
                <a:gd name="connsiteX4" fmla="*/ 9525 w 5153025"/>
                <a:gd name="connsiteY4" fmla="*/ 2295525 h 2581275"/>
                <a:gd name="connsiteX5" fmla="*/ 371475 w 5153025"/>
                <a:gd name="connsiteY5" fmla="*/ 2581275 h 2581275"/>
                <a:gd name="connsiteX6" fmla="*/ 5153025 w 5153025"/>
                <a:gd name="connsiteY6" fmla="*/ 2571750 h 2581275"/>
                <a:gd name="connsiteX7" fmla="*/ 5153025 w 5153025"/>
                <a:gd name="connsiteY7" fmla="*/ 0 h 2581275"/>
                <a:gd name="connsiteX0" fmla="*/ 1038225 w 5153025"/>
                <a:gd name="connsiteY0" fmla="*/ 1428750 h 2581275"/>
                <a:gd name="connsiteX1" fmla="*/ 1038226 w 5153025"/>
                <a:gd name="connsiteY1" fmla="*/ 1428750 h 2581275"/>
                <a:gd name="connsiteX2" fmla="*/ 352425 w 5153025"/>
                <a:gd name="connsiteY2" fmla="*/ 1428750 h 2581275"/>
                <a:gd name="connsiteX3" fmla="*/ 0 w 5153025"/>
                <a:gd name="connsiteY3" fmla="*/ 1733550 h 2581275"/>
                <a:gd name="connsiteX4" fmla="*/ 9525 w 5153025"/>
                <a:gd name="connsiteY4" fmla="*/ 2295525 h 2581275"/>
                <a:gd name="connsiteX5" fmla="*/ 371475 w 5153025"/>
                <a:gd name="connsiteY5" fmla="*/ 2581275 h 2581275"/>
                <a:gd name="connsiteX6" fmla="*/ 5153025 w 5153025"/>
                <a:gd name="connsiteY6" fmla="*/ 2571750 h 2581275"/>
                <a:gd name="connsiteX7" fmla="*/ 5153025 w 5153025"/>
                <a:gd name="connsiteY7" fmla="*/ 0 h 2581275"/>
                <a:gd name="connsiteX0" fmla="*/ 1038225 w 5153025"/>
                <a:gd name="connsiteY0" fmla="*/ 1428750 h 2581275"/>
                <a:gd name="connsiteX1" fmla="*/ 1038226 w 5153025"/>
                <a:gd name="connsiteY1" fmla="*/ 1428750 h 2581275"/>
                <a:gd name="connsiteX2" fmla="*/ 352425 w 5153025"/>
                <a:gd name="connsiteY2" fmla="*/ 1428750 h 2581275"/>
                <a:gd name="connsiteX3" fmla="*/ 0 w 5153025"/>
                <a:gd name="connsiteY3" fmla="*/ 1733550 h 2581275"/>
                <a:gd name="connsiteX4" fmla="*/ 9525 w 5153025"/>
                <a:gd name="connsiteY4" fmla="*/ 2295525 h 2581275"/>
                <a:gd name="connsiteX5" fmla="*/ 371475 w 5153025"/>
                <a:gd name="connsiteY5" fmla="*/ 2581275 h 2581275"/>
                <a:gd name="connsiteX6" fmla="*/ 5153025 w 5153025"/>
                <a:gd name="connsiteY6" fmla="*/ 2571750 h 2581275"/>
                <a:gd name="connsiteX7" fmla="*/ 5153025 w 5153025"/>
                <a:gd name="connsiteY7" fmla="*/ 0 h 2581275"/>
                <a:gd name="connsiteX0" fmla="*/ 1038225 w 5153025"/>
                <a:gd name="connsiteY0" fmla="*/ 1428750 h 2581275"/>
                <a:gd name="connsiteX1" fmla="*/ 1038226 w 5153025"/>
                <a:gd name="connsiteY1" fmla="*/ 1428750 h 2581275"/>
                <a:gd name="connsiteX2" fmla="*/ 352425 w 5153025"/>
                <a:gd name="connsiteY2" fmla="*/ 1428750 h 2581275"/>
                <a:gd name="connsiteX3" fmla="*/ 0 w 5153025"/>
                <a:gd name="connsiteY3" fmla="*/ 1733550 h 2581275"/>
                <a:gd name="connsiteX4" fmla="*/ 9525 w 5153025"/>
                <a:gd name="connsiteY4" fmla="*/ 2295525 h 2581275"/>
                <a:gd name="connsiteX5" fmla="*/ 371475 w 5153025"/>
                <a:gd name="connsiteY5" fmla="*/ 2581275 h 2581275"/>
                <a:gd name="connsiteX6" fmla="*/ 5153025 w 5153025"/>
                <a:gd name="connsiteY6" fmla="*/ 2571750 h 2581275"/>
                <a:gd name="connsiteX7" fmla="*/ 5153025 w 5153025"/>
                <a:gd name="connsiteY7" fmla="*/ 0 h 2581275"/>
                <a:gd name="connsiteX0" fmla="*/ 1038225 w 5153025"/>
                <a:gd name="connsiteY0" fmla="*/ 159270 h 1311795"/>
                <a:gd name="connsiteX1" fmla="*/ 1038226 w 5153025"/>
                <a:gd name="connsiteY1" fmla="*/ 159270 h 1311795"/>
                <a:gd name="connsiteX2" fmla="*/ 352425 w 5153025"/>
                <a:gd name="connsiteY2" fmla="*/ 159270 h 1311795"/>
                <a:gd name="connsiteX3" fmla="*/ 0 w 5153025"/>
                <a:gd name="connsiteY3" fmla="*/ 464070 h 1311795"/>
                <a:gd name="connsiteX4" fmla="*/ 9525 w 5153025"/>
                <a:gd name="connsiteY4" fmla="*/ 1026045 h 1311795"/>
                <a:gd name="connsiteX5" fmla="*/ 371475 w 5153025"/>
                <a:gd name="connsiteY5" fmla="*/ 1311795 h 1311795"/>
                <a:gd name="connsiteX6" fmla="*/ 5153025 w 5153025"/>
                <a:gd name="connsiteY6" fmla="*/ 1302270 h 1311795"/>
                <a:gd name="connsiteX7" fmla="*/ 5153023 w 5153025"/>
                <a:gd name="connsiteY7" fmla="*/ 0 h 1311795"/>
                <a:gd name="connsiteX0" fmla="*/ 1038225 w 5153025"/>
                <a:gd name="connsiteY0" fmla="*/ 159270 h 1311795"/>
                <a:gd name="connsiteX1" fmla="*/ 878626 w 5153025"/>
                <a:gd name="connsiteY1" fmla="*/ 0 h 1311795"/>
                <a:gd name="connsiteX2" fmla="*/ 352425 w 5153025"/>
                <a:gd name="connsiteY2" fmla="*/ 159270 h 1311795"/>
                <a:gd name="connsiteX3" fmla="*/ 0 w 5153025"/>
                <a:gd name="connsiteY3" fmla="*/ 464070 h 1311795"/>
                <a:gd name="connsiteX4" fmla="*/ 9525 w 5153025"/>
                <a:gd name="connsiteY4" fmla="*/ 1026045 h 1311795"/>
                <a:gd name="connsiteX5" fmla="*/ 371475 w 5153025"/>
                <a:gd name="connsiteY5" fmla="*/ 1311795 h 1311795"/>
                <a:gd name="connsiteX6" fmla="*/ 5153025 w 5153025"/>
                <a:gd name="connsiteY6" fmla="*/ 1302270 h 1311795"/>
                <a:gd name="connsiteX7" fmla="*/ 5153023 w 5153025"/>
                <a:gd name="connsiteY7" fmla="*/ 0 h 1311795"/>
                <a:gd name="connsiteX0" fmla="*/ 878626 w 5153025"/>
                <a:gd name="connsiteY0" fmla="*/ 0 h 1311795"/>
                <a:gd name="connsiteX1" fmla="*/ 352425 w 5153025"/>
                <a:gd name="connsiteY1" fmla="*/ 15927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944456 w 5218855"/>
                <a:gd name="connsiteY0" fmla="*/ 0 h 1311795"/>
                <a:gd name="connsiteX1" fmla="*/ 89577 w 5218855"/>
                <a:gd name="connsiteY1" fmla="*/ 0 h 1311795"/>
                <a:gd name="connsiteX2" fmla="*/ 65830 w 5218855"/>
                <a:gd name="connsiteY2" fmla="*/ 464070 h 1311795"/>
                <a:gd name="connsiteX3" fmla="*/ 75355 w 5218855"/>
                <a:gd name="connsiteY3" fmla="*/ 1026045 h 1311795"/>
                <a:gd name="connsiteX4" fmla="*/ 437305 w 5218855"/>
                <a:gd name="connsiteY4" fmla="*/ 1311795 h 1311795"/>
                <a:gd name="connsiteX5" fmla="*/ 5218855 w 5218855"/>
                <a:gd name="connsiteY5" fmla="*/ 1302270 h 1311795"/>
                <a:gd name="connsiteX6" fmla="*/ 5218853 w 5218855"/>
                <a:gd name="connsiteY6" fmla="*/ 0 h 1311795"/>
                <a:gd name="connsiteX0" fmla="*/ 944456 w 5218855"/>
                <a:gd name="connsiteY0" fmla="*/ 0 h 1311795"/>
                <a:gd name="connsiteX1" fmla="*/ 89577 w 5218855"/>
                <a:gd name="connsiteY1" fmla="*/ 0 h 1311795"/>
                <a:gd name="connsiteX2" fmla="*/ 65830 w 5218855"/>
                <a:gd name="connsiteY2" fmla="*/ 464070 h 1311795"/>
                <a:gd name="connsiteX3" fmla="*/ 75355 w 5218855"/>
                <a:gd name="connsiteY3" fmla="*/ 1026045 h 1311795"/>
                <a:gd name="connsiteX4" fmla="*/ 437305 w 5218855"/>
                <a:gd name="connsiteY4" fmla="*/ 1311795 h 1311795"/>
                <a:gd name="connsiteX5" fmla="*/ 5218855 w 5218855"/>
                <a:gd name="connsiteY5" fmla="*/ 1302270 h 1311795"/>
                <a:gd name="connsiteX6" fmla="*/ 5218853 w 5218855"/>
                <a:gd name="connsiteY6" fmla="*/ 0 h 1311795"/>
                <a:gd name="connsiteX0" fmla="*/ 878626 w 5153025"/>
                <a:gd name="connsiteY0" fmla="*/ 0 h 1311795"/>
                <a:gd name="connsiteX1" fmla="*/ 23747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878626 w 5153025"/>
                <a:gd name="connsiteY0" fmla="*/ 0 h 1311795"/>
                <a:gd name="connsiteX1" fmla="*/ 23747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878626 w 5153025"/>
                <a:gd name="connsiteY0" fmla="*/ 0 h 1311795"/>
                <a:gd name="connsiteX1" fmla="*/ 23747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878626 w 5153025"/>
                <a:gd name="connsiteY0" fmla="*/ 0 h 1311795"/>
                <a:gd name="connsiteX1" fmla="*/ 23747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878626 w 5153025"/>
                <a:gd name="connsiteY0" fmla="*/ 0 h 1311795"/>
                <a:gd name="connsiteX1" fmla="*/ 23747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878626 w 5153025"/>
                <a:gd name="connsiteY0" fmla="*/ 0 h 1311795"/>
                <a:gd name="connsiteX1" fmla="*/ 23747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1733505 w 5153025"/>
                <a:gd name="connsiteY0" fmla="*/ 0 h 1311795"/>
                <a:gd name="connsiteX1" fmla="*/ 23747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1733505 w 5153025"/>
                <a:gd name="connsiteY0" fmla="*/ 0 h 1311795"/>
                <a:gd name="connsiteX1" fmla="*/ 878626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1733505 w 5153025"/>
                <a:gd name="connsiteY0" fmla="*/ 0 h 1311795"/>
                <a:gd name="connsiteX1" fmla="*/ 23747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1733505 w 5153025"/>
                <a:gd name="connsiteY0" fmla="*/ 0 h 1311795"/>
                <a:gd name="connsiteX1" fmla="*/ 261971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1733505 w 5153025"/>
                <a:gd name="connsiteY0" fmla="*/ 0 h 1311795"/>
                <a:gd name="connsiteX1" fmla="*/ 261971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1733505 w 5153025"/>
                <a:gd name="connsiteY0" fmla="*/ 0 h 1311795"/>
                <a:gd name="connsiteX1" fmla="*/ 261971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1733505 w 5153025"/>
                <a:gd name="connsiteY0" fmla="*/ 0 h 1311795"/>
                <a:gd name="connsiteX1" fmla="*/ 261971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1733505 w 5153025"/>
                <a:gd name="connsiteY0" fmla="*/ 0 h 1311795"/>
                <a:gd name="connsiteX1" fmla="*/ 261971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1733505 w 5153025"/>
                <a:gd name="connsiteY0" fmla="*/ 0 h 1311795"/>
                <a:gd name="connsiteX1" fmla="*/ 261971 w 5153025"/>
                <a:gd name="connsiteY1" fmla="*/ 0 h 1311795"/>
                <a:gd name="connsiteX2" fmla="*/ 0 w 5153025"/>
                <a:gd name="connsiteY2" fmla="*/ 464070 h 1311795"/>
                <a:gd name="connsiteX3" fmla="*/ 9524 w 5153025"/>
                <a:gd name="connsiteY3" fmla="*/ 1201147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1733505 w 5153025"/>
                <a:gd name="connsiteY0" fmla="*/ 0 h 1311902"/>
                <a:gd name="connsiteX1" fmla="*/ 261971 w 5153025"/>
                <a:gd name="connsiteY1" fmla="*/ 0 h 1311902"/>
                <a:gd name="connsiteX2" fmla="*/ 0 w 5153025"/>
                <a:gd name="connsiteY2" fmla="*/ 464070 h 1311902"/>
                <a:gd name="connsiteX3" fmla="*/ 9524 w 5153025"/>
                <a:gd name="connsiteY3" fmla="*/ 1201147 h 1311902"/>
                <a:gd name="connsiteX4" fmla="*/ 371475 w 5153025"/>
                <a:gd name="connsiteY4" fmla="*/ 1311795 h 1311902"/>
                <a:gd name="connsiteX5" fmla="*/ 5153025 w 5153025"/>
                <a:gd name="connsiteY5" fmla="*/ 1302270 h 1311902"/>
                <a:gd name="connsiteX6" fmla="*/ 5153023 w 5153025"/>
                <a:gd name="connsiteY6" fmla="*/ 0 h 1311902"/>
                <a:gd name="connsiteX0" fmla="*/ 1733505 w 5153025"/>
                <a:gd name="connsiteY0" fmla="*/ 0 h 1311840"/>
                <a:gd name="connsiteX1" fmla="*/ 261971 w 5153025"/>
                <a:gd name="connsiteY1" fmla="*/ 0 h 1311840"/>
                <a:gd name="connsiteX2" fmla="*/ 0 w 5153025"/>
                <a:gd name="connsiteY2" fmla="*/ 464070 h 1311840"/>
                <a:gd name="connsiteX3" fmla="*/ 9524 w 5153025"/>
                <a:gd name="connsiteY3" fmla="*/ 953089 h 1311840"/>
                <a:gd name="connsiteX4" fmla="*/ 371475 w 5153025"/>
                <a:gd name="connsiteY4" fmla="*/ 1311795 h 1311840"/>
                <a:gd name="connsiteX5" fmla="*/ 5153025 w 5153025"/>
                <a:gd name="connsiteY5" fmla="*/ 1302270 h 1311840"/>
                <a:gd name="connsiteX6" fmla="*/ 5153023 w 5153025"/>
                <a:gd name="connsiteY6" fmla="*/ 0 h 1311840"/>
                <a:gd name="connsiteX0" fmla="*/ 1733505 w 5153025"/>
                <a:gd name="connsiteY0" fmla="*/ 0 h 1311862"/>
                <a:gd name="connsiteX1" fmla="*/ 261971 w 5153025"/>
                <a:gd name="connsiteY1" fmla="*/ 0 h 1311862"/>
                <a:gd name="connsiteX2" fmla="*/ 0 w 5153025"/>
                <a:gd name="connsiteY2" fmla="*/ 464070 h 1311862"/>
                <a:gd name="connsiteX3" fmla="*/ 9524 w 5153025"/>
                <a:gd name="connsiteY3" fmla="*/ 1099007 h 1311862"/>
                <a:gd name="connsiteX4" fmla="*/ 371475 w 5153025"/>
                <a:gd name="connsiteY4" fmla="*/ 1311795 h 1311862"/>
                <a:gd name="connsiteX5" fmla="*/ 5153025 w 5153025"/>
                <a:gd name="connsiteY5" fmla="*/ 1302270 h 1311862"/>
                <a:gd name="connsiteX6" fmla="*/ 5153023 w 5153025"/>
                <a:gd name="connsiteY6" fmla="*/ 0 h 1311862"/>
                <a:gd name="connsiteX0" fmla="*/ 1733505 w 5153025"/>
                <a:gd name="connsiteY0" fmla="*/ 0 h 1311871"/>
                <a:gd name="connsiteX1" fmla="*/ 261971 w 5153025"/>
                <a:gd name="connsiteY1" fmla="*/ 0 h 1311871"/>
                <a:gd name="connsiteX2" fmla="*/ 0 w 5153025"/>
                <a:gd name="connsiteY2" fmla="*/ 464070 h 1311871"/>
                <a:gd name="connsiteX3" fmla="*/ 9524 w 5153025"/>
                <a:gd name="connsiteY3" fmla="*/ 1128191 h 1311871"/>
                <a:gd name="connsiteX4" fmla="*/ 371475 w 5153025"/>
                <a:gd name="connsiteY4" fmla="*/ 1311795 h 1311871"/>
                <a:gd name="connsiteX5" fmla="*/ 5153025 w 5153025"/>
                <a:gd name="connsiteY5" fmla="*/ 1302270 h 1311871"/>
                <a:gd name="connsiteX6" fmla="*/ 5153023 w 5153025"/>
                <a:gd name="connsiteY6" fmla="*/ 0 h 1311871"/>
                <a:gd name="connsiteX0" fmla="*/ 903829 w 5153025"/>
                <a:gd name="connsiteY0" fmla="*/ 14594 h 1311871"/>
                <a:gd name="connsiteX1" fmla="*/ 261971 w 5153025"/>
                <a:gd name="connsiteY1" fmla="*/ 0 h 1311871"/>
                <a:gd name="connsiteX2" fmla="*/ 0 w 5153025"/>
                <a:gd name="connsiteY2" fmla="*/ 464070 h 1311871"/>
                <a:gd name="connsiteX3" fmla="*/ 9524 w 5153025"/>
                <a:gd name="connsiteY3" fmla="*/ 1128191 h 1311871"/>
                <a:gd name="connsiteX4" fmla="*/ 371475 w 5153025"/>
                <a:gd name="connsiteY4" fmla="*/ 1311795 h 1311871"/>
                <a:gd name="connsiteX5" fmla="*/ 5153025 w 5153025"/>
                <a:gd name="connsiteY5" fmla="*/ 1302270 h 1311871"/>
                <a:gd name="connsiteX6" fmla="*/ 5153023 w 5153025"/>
                <a:gd name="connsiteY6" fmla="*/ 0 h 1311871"/>
                <a:gd name="connsiteX0" fmla="*/ 903829 w 5153025"/>
                <a:gd name="connsiteY0" fmla="*/ 14594 h 1311835"/>
                <a:gd name="connsiteX1" fmla="*/ 261971 w 5153025"/>
                <a:gd name="connsiteY1" fmla="*/ 0 h 1311835"/>
                <a:gd name="connsiteX2" fmla="*/ 0 w 5153025"/>
                <a:gd name="connsiteY2" fmla="*/ 464070 h 1311835"/>
                <a:gd name="connsiteX3" fmla="*/ 9524 w 5153025"/>
                <a:gd name="connsiteY3" fmla="*/ 894722 h 1311835"/>
                <a:gd name="connsiteX4" fmla="*/ 371475 w 5153025"/>
                <a:gd name="connsiteY4" fmla="*/ 1311795 h 1311835"/>
                <a:gd name="connsiteX5" fmla="*/ 5153025 w 5153025"/>
                <a:gd name="connsiteY5" fmla="*/ 1302270 h 1311835"/>
                <a:gd name="connsiteX6" fmla="*/ 5153023 w 5153025"/>
                <a:gd name="connsiteY6" fmla="*/ 0 h 1311835"/>
                <a:gd name="connsiteX0" fmla="*/ 903829 w 5153025"/>
                <a:gd name="connsiteY0" fmla="*/ 14594 h 1311857"/>
                <a:gd name="connsiteX1" fmla="*/ 261971 w 5153025"/>
                <a:gd name="connsiteY1" fmla="*/ 0 h 1311857"/>
                <a:gd name="connsiteX2" fmla="*/ 0 w 5153025"/>
                <a:gd name="connsiteY2" fmla="*/ 464070 h 1311857"/>
                <a:gd name="connsiteX3" fmla="*/ 9524 w 5153025"/>
                <a:gd name="connsiteY3" fmla="*/ 1069823 h 1311857"/>
                <a:gd name="connsiteX4" fmla="*/ 371475 w 5153025"/>
                <a:gd name="connsiteY4" fmla="*/ 1311795 h 1311857"/>
                <a:gd name="connsiteX5" fmla="*/ 5153025 w 5153025"/>
                <a:gd name="connsiteY5" fmla="*/ 1302270 h 1311857"/>
                <a:gd name="connsiteX6" fmla="*/ 5153023 w 5153025"/>
                <a:gd name="connsiteY6" fmla="*/ 0 h 1311857"/>
                <a:gd name="connsiteX0" fmla="*/ 903829 w 5153025"/>
                <a:gd name="connsiteY0" fmla="*/ 14594 h 1311870"/>
                <a:gd name="connsiteX1" fmla="*/ 261971 w 5153025"/>
                <a:gd name="connsiteY1" fmla="*/ 0 h 1311870"/>
                <a:gd name="connsiteX2" fmla="*/ 0 w 5153025"/>
                <a:gd name="connsiteY2" fmla="*/ 464070 h 1311870"/>
                <a:gd name="connsiteX3" fmla="*/ 9524 w 5153025"/>
                <a:gd name="connsiteY3" fmla="*/ 1128190 h 1311870"/>
                <a:gd name="connsiteX4" fmla="*/ 371475 w 5153025"/>
                <a:gd name="connsiteY4" fmla="*/ 1311795 h 1311870"/>
                <a:gd name="connsiteX5" fmla="*/ 5153025 w 5153025"/>
                <a:gd name="connsiteY5" fmla="*/ 1302270 h 1311870"/>
                <a:gd name="connsiteX6" fmla="*/ 5153023 w 5153025"/>
                <a:gd name="connsiteY6" fmla="*/ 0 h 1311870"/>
                <a:gd name="connsiteX0" fmla="*/ 903829 w 5153025"/>
                <a:gd name="connsiteY0" fmla="*/ 14594 h 1311870"/>
                <a:gd name="connsiteX1" fmla="*/ 261971 w 5153025"/>
                <a:gd name="connsiteY1" fmla="*/ 0 h 1311870"/>
                <a:gd name="connsiteX2" fmla="*/ 0 w 5153025"/>
                <a:gd name="connsiteY2" fmla="*/ 464070 h 1311870"/>
                <a:gd name="connsiteX3" fmla="*/ 9524 w 5153025"/>
                <a:gd name="connsiteY3" fmla="*/ 1128190 h 1311870"/>
                <a:gd name="connsiteX4" fmla="*/ 371475 w 5153025"/>
                <a:gd name="connsiteY4" fmla="*/ 1311795 h 1311870"/>
                <a:gd name="connsiteX5" fmla="*/ 5153025 w 5153025"/>
                <a:gd name="connsiteY5" fmla="*/ 1302270 h 1311870"/>
                <a:gd name="connsiteX6" fmla="*/ 5153023 w 5153025"/>
                <a:gd name="connsiteY6" fmla="*/ 0 h 1311870"/>
                <a:gd name="connsiteX0" fmla="*/ 903829 w 5153025"/>
                <a:gd name="connsiteY0" fmla="*/ 14594 h 1311839"/>
                <a:gd name="connsiteX1" fmla="*/ 261971 w 5153025"/>
                <a:gd name="connsiteY1" fmla="*/ 0 h 1311839"/>
                <a:gd name="connsiteX2" fmla="*/ 0 w 5153025"/>
                <a:gd name="connsiteY2" fmla="*/ 464070 h 1311839"/>
                <a:gd name="connsiteX3" fmla="*/ 362753 w 5153025"/>
                <a:gd name="connsiteY3" fmla="*/ 967682 h 1311839"/>
                <a:gd name="connsiteX4" fmla="*/ 371475 w 5153025"/>
                <a:gd name="connsiteY4" fmla="*/ 1311795 h 1311839"/>
                <a:gd name="connsiteX5" fmla="*/ 5153025 w 5153025"/>
                <a:gd name="connsiteY5" fmla="*/ 1302270 h 1311839"/>
                <a:gd name="connsiteX6" fmla="*/ 5153023 w 5153025"/>
                <a:gd name="connsiteY6" fmla="*/ 0 h 1311839"/>
                <a:gd name="connsiteX0" fmla="*/ 903829 w 5153025"/>
                <a:gd name="connsiteY0" fmla="*/ 14594 h 1311852"/>
                <a:gd name="connsiteX1" fmla="*/ 261971 w 5153025"/>
                <a:gd name="connsiteY1" fmla="*/ 0 h 1311852"/>
                <a:gd name="connsiteX2" fmla="*/ 0 w 5153025"/>
                <a:gd name="connsiteY2" fmla="*/ 464070 h 1311852"/>
                <a:gd name="connsiteX3" fmla="*/ 25953 w 5153025"/>
                <a:gd name="connsiteY3" fmla="*/ 1040644 h 1311852"/>
                <a:gd name="connsiteX4" fmla="*/ 371475 w 5153025"/>
                <a:gd name="connsiteY4" fmla="*/ 1311795 h 1311852"/>
                <a:gd name="connsiteX5" fmla="*/ 5153025 w 5153025"/>
                <a:gd name="connsiteY5" fmla="*/ 1302270 h 1311852"/>
                <a:gd name="connsiteX6" fmla="*/ 5153023 w 5153025"/>
                <a:gd name="connsiteY6" fmla="*/ 0 h 1311852"/>
                <a:gd name="connsiteX0" fmla="*/ 903829 w 5153025"/>
                <a:gd name="connsiteY0" fmla="*/ 14594 h 1311852"/>
                <a:gd name="connsiteX1" fmla="*/ 261971 w 5153025"/>
                <a:gd name="connsiteY1" fmla="*/ 0 h 1311852"/>
                <a:gd name="connsiteX2" fmla="*/ 0 w 5153025"/>
                <a:gd name="connsiteY2" fmla="*/ 478661 h 1311852"/>
                <a:gd name="connsiteX3" fmla="*/ 25953 w 5153025"/>
                <a:gd name="connsiteY3" fmla="*/ 1040644 h 1311852"/>
                <a:gd name="connsiteX4" fmla="*/ 371475 w 5153025"/>
                <a:gd name="connsiteY4" fmla="*/ 1311795 h 1311852"/>
                <a:gd name="connsiteX5" fmla="*/ 5153025 w 5153025"/>
                <a:gd name="connsiteY5" fmla="*/ 1302270 h 1311852"/>
                <a:gd name="connsiteX6" fmla="*/ 5153023 w 5153025"/>
                <a:gd name="connsiteY6" fmla="*/ 0 h 1311852"/>
                <a:gd name="connsiteX0" fmla="*/ 879186 w 5128382"/>
                <a:gd name="connsiteY0" fmla="*/ 14594 h 1311852"/>
                <a:gd name="connsiteX1" fmla="*/ 237328 w 5128382"/>
                <a:gd name="connsiteY1" fmla="*/ 0 h 1311852"/>
                <a:gd name="connsiteX2" fmla="*/ 0 w 5128382"/>
                <a:gd name="connsiteY2" fmla="*/ 478661 h 1311852"/>
                <a:gd name="connsiteX3" fmla="*/ 1310 w 5128382"/>
                <a:gd name="connsiteY3" fmla="*/ 1040644 h 1311852"/>
                <a:gd name="connsiteX4" fmla="*/ 346832 w 5128382"/>
                <a:gd name="connsiteY4" fmla="*/ 1311795 h 1311852"/>
                <a:gd name="connsiteX5" fmla="*/ 5128382 w 5128382"/>
                <a:gd name="connsiteY5" fmla="*/ 1302270 h 1311852"/>
                <a:gd name="connsiteX6" fmla="*/ 5128380 w 5128382"/>
                <a:gd name="connsiteY6" fmla="*/ 0 h 1311852"/>
                <a:gd name="connsiteX0" fmla="*/ 879186 w 5128382"/>
                <a:gd name="connsiteY0" fmla="*/ 14594 h 1311932"/>
                <a:gd name="connsiteX1" fmla="*/ 237328 w 5128382"/>
                <a:gd name="connsiteY1" fmla="*/ 0 h 1311932"/>
                <a:gd name="connsiteX2" fmla="*/ 0 w 5128382"/>
                <a:gd name="connsiteY2" fmla="*/ 478661 h 1311932"/>
                <a:gd name="connsiteX3" fmla="*/ 1311 w 5128382"/>
                <a:gd name="connsiteY3" fmla="*/ 1244928 h 1311932"/>
                <a:gd name="connsiteX4" fmla="*/ 346832 w 5128382"/>
                <a:gd name="connsiteY4" fmla="*/ 1311795 h 1311932"/>
                <a:gd name="connsiteX5" fmla="*/ 5128382 w 5128382"/>
                <a:gd name="connsiteY5" fmla="*/ 1302270 h 1311932"/>
                <a:gd name="connsiteX6" fmla="*/ 5128380 w 5128382"/>
                <a:gd name="connsiteY6" fmla="*/ 0 h 1311932"/>
                <a:gd name="connsiteX0" fmla="*/ 902756 w 5151952"/>
                <a:gd name="connsiteY0" fmla="*/ 14594 h 2310122"/>
                <a:gd name="connsiteX1" fmla="*/ 260898 w 5151952"/>
                <a:gd name="connsiteY1" fmla="*/ 0 h 2310122"/>
                <a:gd name="connsiteX2" fmla="*/ 23570 w 5151952"/>
                <a:gd name="connsiteY2" fmla="*/ 478661 h 2310122"/>
                <a:gd name="connsiteX3" fmla="*/ 238 w 5151952"/>
                <a:gd name="connsiteY3" fmla="*/ 2310122 h 2310122"/>
                <a:gd name="connsiteX4" fmla="*/ 370402 w 5151952"/>
                <a:gd name="connsiteY4" fmla="*/ 1311795 h 2310122"/>
                <a:gd name="connsiteX5" fmla="*/ 5151952 w 5151952"/>
                <a:gd name="connsiteY5" fmla="*/ 1302270 h 2310122"/>
                <a:gd name="connsiteX6" fmla="*/ 5151950 w 5151952"/>
                <a:gd name="connsiteY6" fmla="*/ 0 h 2310122"/>
                <a:gd name="connsiteX0" fmla="*/ 902518 w 5151714"/>
                <a:gd name="connsiteY0" fmla="*/ 14594 h 2310122"/>
                <a:gd name="connsiteX1" fmla="*/ 260660 w 5151714"/>
                <a:gd name="connsiteY1" fmla="*/ 0 h 2310122"/>
                <a:gd name="connsiteX2" fmla="*/ 23332 w 5151714"/>
                <a:gd name="connsiteY2" fmla="*/ 478661 h 2310122"/>
                <a:gd name="connsiteX3" fmla="*/ 0 w 5151714"/>
                <a:gd name="connsiteY3" fmla="*/ 2310122 h 2310122"/>
                <a:gd name="connsiteX4" fmla="*/ 370164 w 5151714"/>
                <a:gd name="connsiteY4" fmla="*/ 1311795 h 2310122"/>
                <a:gd name="connsiteX5" fmla="*/ 5151714 w 5151714"/>
                <a:gd name="connsiteY5" fmla="*/ 1302270 h 2310122"/>
                <a:gd name="connsiteX6" fmla="*/ 5151712 w 5151714"/>
                <a:gd name="connsiteY6" fmla="*/ 0 h 2310122"/>
                <a:gd name="connsiteX0" fmla="*/ 894305 w 5143501"/>
                <a:gd name="connsiteY0" fmla="*/ 14594 h 1311861"/>
                <a:gd name="connsiteX1" fmla="*/ 252447 w 5143501"/>
                <a:gd name="connsiteY1" fmla="*/ 0 h 1311861"/>
                <a:gd name="connsiteX2" fmla="*/ 15119 w 5143501"/>
                <a:gd name="connsiteY2" fmla="*/ 478661 h 1311861"/>
                <a:gd name="connsiteX3" fmla="*/ 0 w 5143501"/>
                <a:gd name="connsiteY3" fmla="*/ 1099011 h 1311861"/>
                <a:gd name="connsiteX4" fmla="*/ 361951 w 5143501"/>
                <a:gd name="connsiteY4" fmla="*/ 1311795 h 1311861"/>
                <a:gd name="connsiteX5" fmla="*/ 5143501 w 5143501"/>
                <a:gd name="connsiteY5" fmla="*/ 1302270 h 1311861"/>
                <a:gd name="connsiteX6" fmla="*/ 5143499 w 5143501"/>
                <a:gd name="connsiteY6" fmla="*/ 0 h 1311861"/>
                <a:gd name="connsiteX0" fmla="*/ 896921 w 5146117"/>
                <a:gd name="connsiteY0" fmla="*/ 14594 h 1311861"/>
                <a:gd name="connsiteX1" fmla="*/ 255063 w 5146117"/>
                <a:gd name="connsiteY1" fmla="*/ 0 h 1311861"/>
                <a:gd name="connsiteX2" fmla="*/ 17735 w 5146117"/>
                <a:gd name="connsiteY2" fmla="*/ 478661 h 1311861"/>
                <a:gd name="connsiteX3" fmla="*/ 2616 w 5146117"/>
                <a:gd name="connsiteY3" fmla="*/ 1099011 h 1311861"/>
                <a:gd name="connsiteX4" fmla="*/ 364567 w 5146117"/>
                <a:gd name="connsiteY4" fmla="*/ 1311795 h 1311861"/>
                <a:gd name="connsiteX5" fmla="*/ 5146117 w 5146117"/>
                <a:gd name="connsiteY5" fmla="*/ 1302270 h 1311861"/>
                <a:gd name="connsiteX6" fmla="*/ 5146115 w 5146117"/>
                <a:gd name="connsiteY6" fmla="*/ 0 h 1311861"/>
                <a:gd name="connsiteX0" fmla="*/ 879186 w 5128382"/>
                <a:gd name="connsiteY0" fmla="*/ 14594 h 1311861"/>
                <a:gd name="connsiteX1" fmla="*/ 237328 w 5128382"/>
                <a:gd name="connsiteY1" fmla="*/ 0 h 1311861"/>
                <a:gd name="connsiteX2" fmla="*/ 0 w 5128382"/>
                <a:gd name="connsiteY2" fmla="*/ 478661 h 1311861"/>
                <a:gd name="connsiteX3" fmla="*/ 17740 w 5128382"/>
                <a:gd name="connsiteY3" fmla="*/ 1099011 h 1311861"/>
                <a:gd name="connsiteX4" fmla="*/ 346832 w 5128382"/>
                <a:gd name="connsiteY4" fmla="*/ 1311795 h 1311861"/>
                <a:gd name="connsiteX5" fmla="*/ 5128382 w 5128382"/>
                <a:gd name="connsiteY5" fmla="*/ 1302270 h 1311861"/>
                <a:gd name="connsiteX6" fmla="*/ 5128380 w 5128382"/>
                <a:gd name="connsiteY6" fmla="*/ 0 h 1311861"/>
                <a:gd name="connsiteX0" fmla="*/ 879186 w 5128382"/>
                <a:gd name="connsiteY0" fmla="*/ 14594 h 1302269"/>
                <a:gd name="connsiteX1" fmla="*/ 237328 w 5128382"/>
                <a:gd name="connsiteY1" fmla="*/ 0 h 1302269"/>
                <a:gd name="connsiteX2" fmla="*/ 0 w 5128382"/>
                <a:gd name="connsiteY2" fmla="*/ 478661 h 1302269"/>
                <a:gd name="connsiteX3" fmla="*/ 17740 w 5128382"/>
                <a:gd name="connsiteY3" fmla="*/ 1099011 h 1302269"/>
                <a:gd name="connsiteX4" fmla="*/ 856780 w 5128382"/>
                <a:gd name="connsiteY4" fmla="*/ 1269470 h 1302269"/>
                <a:gd name="connsiteX5" fmla="*/ 5128382 w 5128382"/>
                <a:gd name="connsiteY5" fmla="*/ 1302270 h 1302269"/>
                <a:gd name="connsiteX6" fmla="*/ 5128380 w 5128382"/>
                <a:gd name="connsiteY6" fmla="*/ 0 h 1302269"/>
                <a:gd name="connsiteX0" fmla="*/ 856780 w 5128382"/>
                <a:gd name="connsiteY0" fmla="*/ 0 h 2571751"/>
                <a:gd name="connsiteX1" fmla="*/ 237328 w 5128382"/>
                <a:gd name="connsiteY1" fmla="*/ 1269482 h 2571751"/>
                <a:gd name="connsiteX2" fmla="*/ 0 w 5128382"/>
                <a:gd name="connsiteY2" fmla="*/ 1748143 h 2571751"/>
                <a:gd name="connsiteX3" fmla="*/ 17740 w 5128382"/>
                <a:gd name="connsiteY3" fmla="*/ 2368493 h 2571751"/>
                <a:gd name="connsiteX4" fmla="*/ 856780 w 5128382"/>
                <a:gd name="connsiteY4" fmla="*/ 2538952 h 2571751"/>
                <a:gd name="connsiteX5" fmla="*/ 5128382 w 5128382"/>
                <a:gd name="connsiteY5" fmla="*/ 2571752 h 2571751"/>
                <a:gd name="connsiteX6" fmla="*/ 5128380 w 5128382"/>
                <a:gd name="connsiteY6" fmla="*/ 1269482 h 2571751"/>
                <a:gd name="connsiteX0" fmla="*/ 856780 w 5128382"/>
                <a:gd name="connsiteY0" fmla="*/ 0 h 2571751"/>
                <a:gd name="connsiteX1" fmla="*/ 2461 w 5128382"/>
                <a:gd name="connsiteY1" fmla="*/ 0 h 2571751"/>
                <a:gd name="connsiteX2" fmla="*/ 0 w 5128382"/>
                <a:gd name="connsiteY2" fmla="*/ 1748143 h 2571751"/>
                <a:gd name="connsiteX3" fmla="*/ 17740 w 5128382"/>
                <a:gd name="connsiteY3" fmla="*/ 2368493 h 2571751"/>
                <a:gd name="connsiteX4" fmla="*/ 856780 w 5128382"/>
                <a:gd name="connsiteY4" fmla="*/ 2538952 h 2571751"/>
                <a:gd name="connsiteX5" fmla="*/ 5128382 w 5128382"/>
                <a:gd name="connsiteY5" fmla="*/ 2571752 h 2571751"/>
                <a:gd name="connsiteX6" fmla="*/ 5128380 w 5128382"/>
                <a:gd name="connsiteY6" fmla="*/ 1269482 h 2571751"/>
                <a:gd name="connsiteX0" fmla="*/ 1711098 w 5128382"/>
                <a:gd name="connsiteY0" fmla="*/ 0 h 2571751"/>
                <a:gd name="connsiteX1" fmla="*/ 2461 w 5128382"/>
                <a:gd name="connsiteY1" fmla="*/ 0 h 2571751"/>
                <a:gd name="connsiteX2" fmla="*/ 0 w 5128382"/>
                <a:gd name="connsiteY2" fmla="*/ 1748143 h 2571751"/>
                <a:gd name="connsiteX3" fmla="*/ 17740 w 5128382"/>
                <a:gd name="connsiteY3" fmla="*/ 2368493 h 2571751"/>
                <a:gd name="connsiteX4" fmla="*/ 856780 w 5128382"/>
                <a:gd name="connsiteY4" fmla="*/ 2538952 h 2571751"/>
                <a:gd name="connsiteX5" fmla="*/ 5128382 w 5128382"/>
                <a:gd name="connsiteY5" fmla="*/ 2571752 h 2571751"/>
                <a:gd name="connsiteX6" fmla="*/ 5128380 w 5128382"/>
                <a:gd name="connsiteY6" fmla="*/ 1269482 h 2571751"/>
                <a:gd name="connsiteX0" fmla="*/ 1711098 w 5128382"/>
                <a:gd name="connsiteY0" fmla="*/ 0 h 2571751"/>
                <a:gd name="connsiteX1" fmla="*/ 856780 w 5128382"/>
                <a:gd name="connsiteY1" fmla="*/ 0 h 2571751"/>
                <a:gd name="connsiteX2" fmla="*/ 0 w 5128382"/>
                <a:gd name="connsiteY2" fmla="*/ 1748143 h 2571751"/>
                <a:gd name="connsiteX3" fmla="*/ 17740 w 5128382"/>
                <a:gd name="connsiteY3" fmla="*/ 2368493 h 2571751"/>
                <a:gd name="connsiteX4" fmla="*/ 856780 w 5128382"/>
                <a:gd name="connsiteY4" fmla="*/ 2538952 h 2571751"/>
                <a:gd name="connsiteX5" fmla="*/ 5128382 w 5128382"/>
                <a:gd name="connsiteY5" fmla="*/ 2571752 h 2571751"/>
                <a:gd name="connsiteX6" fmla="*/ 5128380 w 5128382"/>
                <a:gd name="connsiteY6" fmla="*/ 1269482 h 2571751"/>
                <a:gd name="connsiteX0" fmla="*/ 1708637 w 5125921"/>
                <a:gd name="connsiteY0" fmla="*/ 0 h 2571751"/>
                <a:gd name="connsiteX1" fmla="*/ 854319 w 5125921"/>
                <a:gd name="connsiteY1" fmla="*/ 0 h 2571751"/>
                <a:gd name="connsiteX2" fmla="*/ 0 w 5125921"/>
                <a:gd name="connsiteY2" fmla="*/ 1269478 h 2571751"/>
                <a:gd name="connsiteX3" fmla="*/ 15279 w 5125921"/>
                <a:gd name="connsiteY3" fmla="*/ 2368493 h 2571751"/>
                <a:gd name="connsiteX4" fmla="*/ 854319 w 5125921"/>
                <a:gd name="connsiteY4" fmla="*/ 2538952 h 2571751"/>
                <a:gd name="connsiteX5" fmla="*/ 5125921 w 5125921"/>
                <a:gd name="connsiteY5" fmla="*/ 2571752 h 2571751"/>
                <a:gd name="connsiteX6" fmla="*/ 5125919 w 5125921"/>
                <a:gd name="connsiteY6" fmla="*/ 1269482 h 2571751"/>
                <a:gd name="connsiteX0" fmla="*/ 1708637 w 5125921"/>
                <a:gd name="connsiteY0" fmla="*/ 0 h 2571751"/>
                <a:gd name="connsiteX1" fmla="*/ 854319 w 5125921"/>
                <a:gd name="connsiteY1" fmla="*/ 0 h 2571751"/>
                <a:gd name="connsiteX2" fmla="*/ 0 w 5125921"/>
                <a:gd name="connsiteY2" fmla="*/ 1269478 h 2571751"/>
                <a:gd name="connsiteX3" fmla="*/ 0 w 5125921"/>
                <a:gd name="connsiteY3" fmla="*/ 1269478 h 2571751"/>
                <a:gd name="connsiteX4" fmla="*/ 854319 w 5125921"/>
                <a:gd name="connsiteY4" fmla="*/ 2538952 h 2571751"/>
                <a:gd name="connsiteX5" fmla="*/ 5125921 w 5125921"/>
                <a:gd name="connsiteY5" fmla="*/ 2571752 h 2571751"/>
                <a:gd name="connsiteX6" fmla="*/ 5125919 w 5125921"/>
                <a:gd name="connsiteY6" fmla="*/ 1269482 h 2571751"/>
                <a:gd name="connsiteX0" fmla="*/ 1708637 w 5125921"/>
                <a:gd name="connsiteY0" fmla="*/ 1137 h 2572888"/>
                <a:gd name="connsiteX1" fmla="*/ 854319 w 5125921"/>
                <a:gd name="connsiteY1" fmla="*/ 1137 h 2572888"/>
                <a:gd name="connsiteX2" fmla="*/ 0 w 5125921"/>
                <a:gd name="connsiteY2" fmla="*/ 1270615 h 2572888"/>
                <a:gd name="connsiteX3" fmla="*/ 0 w 5125921"/>
                <a:gd name="connsiteY3" fmla="*/ 1137 h 2572888"/>
                <a:gd name="connsiteX4" fmla="*/ 854319 w 5125921"/>
                <a:gd name="connsiteY4" fmla="*/ 2540089 h 2572888"/>
                <a:gd name="connsiteX5" fmla="*/ 5125921 w 5125921"/>
                <a:gd name="connsiteY5" fmla="*/ 2572889 h 2572888"/>
                <a:gd name="connsiteX6" fmla="*/ 5125919 w 5125921"/>
                <a:gd name="connsiteY6" fmla="*/ 1270619 h 2572888"/>
                <a:gd name="connsiteX0" fmla="*/ 1708637 w 5125921"/>
                <a:gd name="connsiteY0" fmla="*/ 0 h 2571751"/>
                <a:gd name="connsiteX1" fmla="*/ 854319 w 5125921"/>
                <a:gd name="connsiteY1" fmla="*/ 0 h 2571751"/>
                <a:gd name="connsiteX2" fmla="*/ 0 w 5125921"/>
                <a:gd name="connsiteY2" fmla="*/ 1269478 h 2571751"/>
                <a:gd name="connsiteX3" fmla="*/ 0 w 5125921"/>
                <a:gd name="connsiteY3" fmla="*/ 2538956 h 2571751"/>
                <a:gd name="connsiteX4" fmla="*/ 854319 w 5125921"/>
                <a:gd name="connsiteY4" fmla="*/ 2538952 h 2571751"/>
                <a:gd name="connsiteX5" fmla="*/ 5125921 w 5125921"/>
                <a:gd name="connsiteY5" fmla="*/ 2571752 h 2571751"/>
                <a:gd name="connsiteX6" fmla="*/ 5125919 w 5125921"/>
                <a:gd name="connsiteY6" fmla="*/ 1269482 h 2571751"/>
                <a:gd name="connsiteX0" fmla="*/ 1771315 w 5188599"/>
                <a:gd name="connsiteY0" fmla="*/ 62925 h 2634676"/>
                <a:gd name="connsiteX1" fmla="*/ 916997 w 5188599"/>
                <a:gd name="connsiteY1" fmla="*/ 62925 h 2634676"/>
                <a:gd name="connsiteX2" fmla="*/ 62678 w 5188599"/>
                <a:gd name="connsiteY2" fmla="*/ 62925 h 2634676"/>
                <a:gd name="connsiteX3" fmla="*/ 62678 w 5188599"/>
                <a:gd name="connsiteY3" fmla="*/ 1332403 h 2634676"/>
                <a:gd name="connsiteX4" fmla="*/ 62678 w 5188599"/>
                <a:gd name="connsiteY4" fmla="*/ 2601881 h 2634676"/>
                <a:gd name="connsiteX5" fmla="*/ 916997 w 5188599"/>
                <a:gd name="connsiteY5" fmla="*/ 2601877 h 2634676"/>
                <a:gd name="connsiteX6" fmla="*/ 5188599 w 5188599"/>
                <a:gd name="connsiteY6" fmla="*/ 2634677 h 2634676"/>
                <a:gd name="connsiteX7" fmla="*/ 5188597 w 5188599"/>
                <a:gd name="connsiteY7" fmla="*/ 1332407 h 2634676"/>
                <a:gd name="connsiteX0" fmla="*/ 1771315 w 5188599"/>
                <a:gd name="connsiteY0" fmla="*/ 1287990 h 3859741"/>
                <a:gd name="connsiteX1" fmla="*/ 916997 w 5188599"/>
                <a:gd name="connsiteY1" fmla="*/ 1287990 h 3859741"/>
                <a:gd name="connsiteX2" fmla="*/ 62681 w 5188599"/>
                <a:gd name="connsiteY2" fmla="*/ 18513 h 3859741"/>
                <a:gd name="connsiteX3" fmla="*/ 62678 w 5188599"/>
                <a:gd name="connsiteY3" fmla="*/ 2557468 h 3859741"/>
                <a:gd name="connsiteX4" fmla="*/ 62678 w 5188599"/>
                <a:gd name="connsiteY4" fmla="*/ 3826946 h 3859741"/>
                <a:gd name="connsiteX5" fmla="*/ 916997 w 5188599"/>
                <a:gd name="connsiteY5" fmla="*/ 3826942 h 3859741"/>
                <a:gd name="connsiteX6" fmla="*/ 5188599 w 5188599"/>
                <a:gd name="connsiteY6" fmla="*/ 3859742 h 3859741"/>
                <a:gd name="connsiteX7" fmla="*/ 5188597 w 5188599"/>
                <a:gd name="connsiteY7" fmla="*/ 2557472 h 3859741"/>
                <a:gd name="connsiteX0" fmla="*/ 1771315 w 5188599"/>
                <a:gd name="connsiteY0" fmla="*/ 1332403 h 3904154"/>
                <a:gd name="connsiteX1" fmla="*/ 916999 w 5188599"/>
                <a:gd name="connsiteY1" fmla="*/ 62930 h 3904154"/>
                <a:gd name="connsiteX2" fmla="*/ 62681 w 5188599"/>
                <a:gd name="connsiteY2" fmla="*/ 62926 h 3904154"/>
                <a:gd name="connsiteX3" fmla="*/ 62678 w 5188599"/>
                <a:gd name="connsiteY3" fmla="*/ 2601881 h 3904154"/>
                <a:gd name="connsiteX4" fmla="*/ 62678 w 5188599"/>
                <a:gd name="connsiteY4" fmla="*/ 3871359 h 3904154"/>
                <a:gd name="connsiteX5" fmla="*/ 916997 w 5188599"/>
                <a:gd name="connsiteY5" fmla="*/ 3871355 h 3904154"/>
                <a:gd name="connsiteX6" fmla="*/ 5188599 w 5188599"/>
                <a:gd name="connsiteY6" fmla="*/ 3904155 h 3904154"/>
                <a:gd name="connsiteX7" fmla="*/ 5188597 w 5188599"/>
                <a:gd name="connsiteY7" fmla="*/ 2601885 h 3904154"/>
                <a:gd name="connsiteX0" fmla="*/ 1771315 w 5188599"/>
                <a:gd name="connsiteY0" fmla="*/ 1269473 h 3841224"/>
                <a:gd name="connsiteX1" fmla="*/ 916999 w 5188599"/>
                <a:gd name="connsiteY1" fmla="*/ 0 h 3841224"/>
                <a:gd name="connsiteX2" fmla="*/ 62681 w 5188599"/>
                <a:gd name="connsiteY2" fmla="*/ 1269477 h 3841224"/>
                <a:gd name="connsiteX3" fmla="*/ 62678 w 5188599"/>
                <a:gd name="connsiteY3" fmla="*/ 2538951 h 3841224"/>
                <a:gd name="connsiteX4" fmla="*/ 62678 w 5188599"/>
                <a:gd name="connsiteY4" fmla="*/ 3808429 h 3841224"/>
                <a:gd name="connsiteX5" fmla="*/ 916997 w 5188599"/>
                <a:gd name="connsiteY5" fmla="*/ 3808425 h 3841224"/>
                <a:gd name="connsiteX6" fmla="*/ 5188599 w 5188599"/>
                <a:gd name="connsiteY6" fmla="*/ 3841225 h 3841224"/>
                <a:gd name="connsiteX7" fmla="*/ 5188597 w 5188599"/>
                <a:gd name="connsiteY7" fmla="*/ 2538955 h 3841224"/>
                <a:gd name="connsiteX0" fmla="*/ 1771315 w 5188599"/>
                <a:gd name="connsiteY0" fmla="*/ 1269473 h 3841224"/>
                <a:gd name="connsiteX1" fmla="*/ 916999 w 5188599"/>
                <a:gd name="connsiteY1" fmla="*/ 0 h 3841224"/>
                <a:gd name="connsiteX2" fmla="*/ 62681 w 5188599"/>
                <a:gd name="connsiteY2" fmla="*/ 1269477 h 3841224"/>
                <a:gd name="connsiteX3" fmla="*/ 62678 w 5188599"/>
                <a:gd name="connsiteY3" fmla="*/ 2538951 h 3841224"/>
                <a:gd name="connsiteX4" fmla="*/ 916999 w 5188599"/>
                <a:gd name="connsiteY4" fmla="*/ 3808433 h 3841224"/>
                <a:gd name="connsiteX5" fmla="*/ 916997 w 5188599"/>
                <a:gd name="connsiteY5" fmla="*/ 3808425 h 3841224"/>
                <a:gd name="connsiteX6" fmla="*/ 5188599 w 5188599"/>
                <a:gd name="connsiteY6" fmla="*/ 3841225 h 3841224"/>
                <a:gd name="connsiteX7" fmla="*/ 5188597 w 5188599"/>
                <a:gd name="connsiteY7" fmla="*/ 2538955 h 3841224"/>
                <a:gd name="connsiteX0" fmla="*/ 1771315 w 5188599"/>
                <a:gd name="connsiteY0" fmla="*/ 1269473 h 3841224"/>
                <a:gd name="connsiteX1" fmla="*/ 916999 w 5188599"/>
                <a:gd name="connsiteY1" fmla="*/ 0 h 3841224"/>
                <a:gd name="connsiteX2" fmla="*/ 62681 w 5188599"/>
                <a:gd name="connsiteY2" fmla="*/ 1269477 h 3841224"/>
                <a:gd name="connsiteX3" fmla="*/ 62678 w 5188599"/>
                <a:gd name="connsiteY3" fmla="*/ 2538951 h 3841224"/>
                <a:gd name="connsiteX4" fmla="*/ 916999 w 5188599"/>
                <a:gd name="connsiteY4" fmla="*/ 3808433 h 3841224"/>
                <a:gd name="connsiteX5" fmla="*/ 1771318 w 5188599"/>
                <a:gd name="connsiteY5" fmla="*/ 3808433 h 3841224"/>
                <a:gd name="connsiteX6" fmla="*/ 5188599 w 5188599"/>
                <a:gd name="connsiteY6" fmla="*/ 3841225 h 3841224"/>
                <a:gd name="connsiteX7" fmla="*/ 5188597 w 5188599"/>
                <a:gd name="connsiteY7" fmla="*/ 2538955 h 3841224"/>
                <a:gd name="connsiteX0" fmla="*/ 1771318 w 5188599"/>
                <a:gd name="connsiteY0" fmla="*/ 0 h 3841224"/>
                <a:gd name="connsiteX1" fmla="*/ 916999 w 5188599"/>
                <a:gd name="connsiteY1" fmla="*/ 0 h 3841224"/>
                <a:gd name="connsiteX2" fmla="*/ 62681 w 5188599"/>
                <a:gd name="connsiteY2" fmla="*/ 1269477 h 3841224"/>
                <a:gd name="connsiteX3" fmla="*/ 62678 w 5188599"/>
                <a:gd name="connsiteY3" fmla="*/ 2538951 h 3841224"/>
                <a:gd name="connsiteX4" fmla="*/ 916999 w 5188599"/>
                <a:gd name="connsiteY4" fmla="*/ 3808433 h 3841224"/>
                <a:gd name="connsiteX5" fmla="*/ 1771318 w 5188599"/>
                <a:gd name="connsiteY5" fmla="*/ 3808433 h 3841224"/>
                <a:gd name="connsiteX6" fmla="*/ 5188599 w 5188599"/>
                <a:gd name="connsiteY6" fmla="*/ 3841225 h 3841224"/>
                <a:gd name="connsiteX7" fmla="*/ 5188597 w 5188599"/>
                <a:gd name="connsiteY7" fmla="*/ 2538955 h 3841224"/>
                <a:gd name="connsiteX0" fmla="*/ 1771318 w 5188599"/>
                <a:gd name="connsiteY0" fmla="*/ 0 h 3841224"/>
                <a:gd name="connsiteX1" fmla="*/ 916999 w 5188599"/>
                <a:gd name="connsiteY1" fmla="*/ 0 h 3841224"/>
                <a:gd name="connsiteX2" fmla="*/ 62681 w 5188599"/>
                <a:gd name="connsiteY2" fmla="*/ 1269477 h 3841224"/>
                <a:gd name="connsiteX3" fmla="*/ 62678 w 5188599"/>
                <a:gd name="connsiteY3" fmla="*/ 2538951 h 3841224"/>
                <a:gd name="connsiteX4" fmla="*/ 916999 w 5188599"/>
                <a:gd name="connsiteY4" fmla="*/ 3808433 h 3841224"/>
                <a:gd name="connsiteX5" fmla="*/ 1771318 w 5188599"/>
                <a:gd name="connsiteY5" fmla="*/ 3808433 h 3841224"/>
                <a:gd name="connsiteX6" fmla="*/ 5188599 w 5188599"/>
                <a:gd name="connsiteY6" fmla="*/ 3841225 h 3841224"/>
                <a:gd name="connsiteX7" fmla="*/ 5188597 w 5188599"/>
                <a:gd name="connsiteY7" fmla="*/ 2538955 h 3841224"/>
                <a:gd name="connsiteX0" fmla="*/ 1771318 w 5188599"/>
                <a:gd name="connsiteY0" fmla="*/ 0 h 3841224"/>
                <a:gd name="connsiteX1" fmla="*/ 916999 w 5188599"/>
                <a:gd name="connsiteY1" fmla="*/ 0 h 3841224"/>
                <a:gd name="connsiteX2" fmla="*/ 62681 w 5188599"/>
                <a:gd name="connsiteY2" fmla="*/ 1269477 h 3841224"/>
                <a:gd name="connsiteX3" fmla="*/ 62678 w 5188599"/>
                <a:gd name="connsiteY3" fmla="*/ 2538951 h 3841224"/>
                <a:gd name="connsiteX4" fmla="*/ 916999 w 5188599"/>
                <a:gd name="connsiteY4" fmla="*/ 3808433 h 3841224"/>
                <a:gd name="connsiteX5" fmla="*/ 1771318 w 5188599"/>
                <a:gd name="connsiteY5" fmla="*/ 3808433 h 3841224"/>
                <a:gd name="connsiteX6" fmla="*/ 5188599 w 5188599"/>
                <a:gd name="connsiteY6" fmla="*/ 3841225 h 3841224"/>
                <a:gd name="connsiteX7" fmla="*/ 5188597 w 5188599"/>
                <a:gd name="connsiteY7" fmla="*/ 2538955 h 3841224"/>
                <a:gd name="connsiteX0" fmla="*/ 1771318 w 5188599"/>
                <a:gd name="connsiteY0" fmla="*/ 0 h 3841224"/>
                <a:gd name="connsiteX1" fmla="*/ 916999 w 5188599"/>
                <a:gd name="connsiteY1" fmla="*/ 0 h 3841224"/>
                <a:gd name="connsiteX2" fmla="*/ 62681 w 5188599"/>
                <a:gd name="connsiteY2" fmla="*/ 1269477 h 3841224"/>
                <a:gd name="connsiteX3" fmla="*/ 62678 w 5188599"/>
                <a:gd name="connsiteY3" fmla="*/ 2538951 h 3841224"/>
                <a:gd name="connsiteX4" fmla="*/ 916999 w 5188599"/>
                <a:gd name="connsiteY4" fmla="*/ 3808433 h 3841224"/>
                <a:gd name="connsiteX5" fmla="*/ 1771318 w 5188599"/>
                <a:gd name="connsiteY5" fmla="*/ 3808433 h 3841224"/>
                <a:gd name="connsiteX6" fmla="*/ 5188599 w 5188599"/>
                <a:gd name="connsiteY6" fmla="*/ 3841225 h 3841224"/>
                <a:gd name="connsiteX7" fmla="*/ 5188597 w 5188599"/>
                <a:gd name="connsiteY7" fmla="*/ 2538955 h 3841224"/>
                <a:gd name="connsiteX0" fmla="*/ 1771318 w 5188599"/>
                <a:gd name="connsiteY0" fmla="*/ 86471 h 3927695"/>
                <a:gd name="connsiteX1" fmla="*/ 916999 w 5188599"/>
                <a:gd name="connsiteY1" fmla="*/ 86471 h 3927695"/>
                <a:gd name="connsiteX2" fmla="*/ 62681 w 5188599"/>
                <a:gd name="connsiteY2" fmla="*/ 1355948 h 3927695"/>
                <a:gd name="connsiteX3" fmla="*/ 62678 w 5188599"/>
                <a:gd name="connsiteY3" fmla="*/ 2625422 h 3927695"/>
                <a:gd name="connsiteX4" fmla="*/ 916999 w 5188599"/>
                <a:gd name="connsiteY4" fmla="*/ 3894904 h 3927695"/>
                <a:gd name="connsiteX5" fmla="*/ 1771318 w 5188599"/>
                <a:gd name="connsiteY5" fmla="*/ 3894904 h 3927695"/>
                <a:gd name="connsiteX6" fmla="*/ 5188599 w 5188599"/>
                <a:gd name="connsiteY6" fmla="*/ 3927696 h 3927695"/>
                <a:gd name="connsiteX7" fmla="*/ 5188597 w 5188599"/>
                <a:gd name="connsiteY7" fmla="*/ 2625426 h 3927695"/>
                <a:gd name="connsiteX0" fmla="*/ 1771318 w 5188599"/>
                <a:gd name="connsiteY0" fmla="*/ 8650 h 3849874"/>
                <a:gd name="connsiteX1" fmla="*/ 916999 w 5188599"/>
                <a:gd name="connsiteY1" fmla="*/ 8650 h 3849874"/>
                <a:gd name="connsiteX2" fmla="*/ 62681 w 5188599"/>
                <a:gd name="connsiteY2" fmla="*/ 1278127 h 3849874"/>
                <a:gd name="connsiteX3" fmla="*/ 62678 w 5188599"/>
                <a:gd name="connsiteY3" fmla="*/ 2547601 h 3849874"/>
                <a:gd name="connsiteX4" fmla="*/ 916999 w 5188599"/>
                <a:gd name="connsiteY4" fmla="*/ 3817083 h 3849874"/>
                <a:gd name="connsiteX5" fmla="*/ 1771318 w 5188599"/>
                <a:gd name="connsiteY5" fmla="*/ 3817083 h 3849874"/>
                <a:gd name="connsiteX6" fmla="*/ 5188599 w 5188599"/>
                <a:gd name="connsiteY6" fmla="*/ 3849875 h 3849874"/>
                <a:gd name="connsiteX7" fmla="*/ 5188597 w 5188599"/>
                <a:gd name="connsiteY7" fmla="*/ 2547605 h 3849874"/>
                <a:gd name="connsiteX0" fmla="*/ 1708677 w 5125958"/>
                <a:gd name="connsiteY0" fmla="*/ 8650 h 3849874"/>
                <a:gd name="connsiteX1" fmla="*/ 854358 w 5125958"/>
                <a:gd name="connsiteY1" fmla="*/ 8650 h 3849874"/>
                <a:gd name="connsiteX2" fmla="*/ 40 w 5125958"/>
                <a:gd name="connsiteY2" fmla="*/ 1278127 h 3849874"/>
                <a:gd name="connsiteX3" fmla="*/ 37 w 5125958"/>
                <a:gd name="connsiteY3" fmla="*/ 2547601 h 3849874"/>
                <a:gd name="connsiteX4" fmla="*/ 854358 w 5125958"/>
                <a:gd name="connsiteY4" fmla="*/ 3817083 h 3849874"/>
                <a:gd name="connsiteX5" fmla="*/ 1708677 w 5125958"/>
                <a:gd name="connsiteY5" fmla="*/ 3817083 h 3849874"/>
                <a:gd name="connsiteX6" fmla="*/ 5125958 w 5125958"/>
                <a:gd name="connsiteY6" fmla="*/ 3849875 h 3849874"/>
                <a:gd name="connsiteX7" fmla="*/ 5125956 w 5125958"/>
                <a:gd name="connsiteY7" fmla="*/ 2547605 h 3849874"/>
                <a:gd name="connsiteX0" fmla="*/ 1708677 w 5125958"/>
                <a:gd name="connsiteY0" fmla="*/ 8650 h 3849874"/>
                <a:gd name="connsiteX1" fmla="*/ 854358 w 5125958"/>
                <a:gd name="connsiteY1" fmla="*/ 8650 h 3849874"/>
                <a:gd name="connsiteX2" fmla="*/ 40 w 5125958"/>
                <a:gd name="connsiteY2" fmla="*/ 1278127 h 3849874"/>
                <a:gd name="connsiteX3" fmla="*/ 37 w 5125958"/>
                <a:gd name="connsiteY3" fmla="*/ 2547601 h 3849874"/>
                <a:gd name="connsiteX4" fmla="*/ 854358 w 5125958"/>
                <a:gd name="connsiteY4" fmla="*/ 3817083 h 3849874"/>
                <a:gd name="connsiteX5" fmla="*/ 1708677 w 5125958"/>
                <a:gd name="connsiteY5" fmla="*/ 3817083 h 3849874"/>
                <a:gd name="connsiteX6" fmla="*/ 5125958 w 5125958"/>
                <a:gd name="connsiteY6" fmla="*/ 3849875 h 3849874"/>
                <a:gd name="connsiteX7" fmla="*/ 5125956 w 5125958"/>
                <a:gd name="connsiteY7" fmla="*/ 2547605 h 3849874"/>
                <a:gd name="connsiteX0" fmla="*/ 1708677 w 5125958"/>
                <a:gd name="connsiteY0" fmla="*/ 8650 h 3849874"/>
                <a:gd name="connsiteX1" fmla="*/ 854358 w 5125958"/>
                <a:gd name="connsiteY1" fmla="*/ 8650 h 3849874"/>
                <a:gd name="connsiteX2" fmla="*/ 40 w 5125958"/>
                <a:gd name="connsiteY2" fmla="*/ 1278127 h 3849874"/>
                <a:gd name="connsiteX3" fmla="*/ 37 w 5125958"/>
                <a:gd name="connsiteY3" fmla="*/ 2547601 h 3849874"/>
                <a:gd name="connsiteX4" fmla="*/ 854358 w 5125958"/>
                <a:gd name="connsiteY4" fmla="*/ 3817083 h 3849874"/>
                <a:gd name="connsiteX5" fmla="*/ 1708677 w 5125958"/>
                <a:gd name="connsiteY5" fmla="*/ 3817083 h 3849874"/>
                <a:gd name="connsiteX6" fmla="*/ 5125958 w 5125958"/>
                <a:gd name="connsiteY6" fmla="*/ 3849875 h 3849874"/>
                <a:gd name="connsiteX7" fmla="*/ 5125956 w 5125958"/>
                <a:gd name="connsiteY7" fmla="*/ 2547605 h 3849874"/>
                <a:gd name="connsiteX0" fmla="*/ 1708677 w 5125958"/>
                <a:gd name="connsiteY0" fmla="*/ 8650 h 3849874"/>
                <a:gd name="connsiteX1" fmla="*/ 854358 w 5125958"/>
                <a:gd name="connsiteY1" fmla="*/ 8650 h 3849874"/>
                <a:gd name="connsiteX2" fmla="*/ 40 w 5125958"/>
                <a:gd name="connsiteY2" fmla="*/ 1278127 h 3849874"/>
                <a:gd name="connsiteX3" fmla="*/ 37 w 5125958"/>
                <a:gd name="connsiteY3" fmla="*/ 2547601 h 3849874"/>
                <a:gd name="connsiteX4" fmla="*/ 854358 w 5125958"/>
                <a:gd name="connsiteY4" fmla="*/ 3817083 h 3849874"/>
                <a:gd name="connsiteX5" fmla="*/ 1708677 w 5125958"/>
                <a:gd name="connsiteY5" fmla="*/ 3817079 h 3849874"/>
                <a:gd name="connsiteX6" fmla="*/ 5125958 w 5125958"/>
                <a:gd name="connsiteY6" fmla="*/ 3849875 h 3849874"/>
                <a:gd name="connsiteX7" fmla="*/ 5125956 w 5125958"/>
                <a:gd name="connsiteY7" fmla="*/ 2547605 h 3849874"/>
                <a:gd name="connsiteX0" fmla="*/ 1708677 w 5125958"/>
                <a:gd name="connsiteY0" fmla="*/ 8650 h 3849874"/>
                <a:gd name="connsiteX1" fmla="*/ 854358 w 5125958"/>
                <a:gd name="connsiteY1" fmla="*/ 8650 h 3849874"/>
                <a:gd name="connsiteX2" fmla="*/ 40 w 5125958"/>
                <a:gd name="connsiteY2" fmla="*/ 1278127 h 3849874"/>
                <a:gd name="connsiteX3" fmla="*/ 37 w 5125958"/>
                <a:gd name="connsiteY3" fmla="*/ 2547601 h 3849874"/>
                <a:gd name="connsiteX4" fmla="*/ 854358 w 5125958"/>
                <a:gd name="connsiteY4" fmla="*/ 3817079 h 3849874"/>
                <a:gd name="connsiteX5" fmla="*/ 1708677 w 5125958"/>
                <a:gd name="connsiteY5" fmla="*/ 3817079 h 3849874"/>
                <a:gd name="connsiteX6" fmla="*/ 5125958 w 5125958"/>
                <a:gd name="connsiteY6" fmla="*/ 3849875 h 3849874"/>
                <a:gd name="connsiteX7" fmla="*/ 5125956 w 5125958"/>
                <a:gd name="connsiteY7" fmla="*/ 2547605 h 3849874"/>
                <a:gd name="connsiteX0" fmla="*/ 1708677 w 5125958"/>
                <a:gd name="connsiteY0" fmla="*/ 8650 h 3849874"/>
                <a:gd name="connsiteX1" fmla="*/ 854358 w 5125958"/>
                <a:gd name="connsiteY1" fmla="*/ 8650 h 3849874"/>
                <a:gd name="connsiteX2" fmla="*/ 40 w 5125958"/>
                <a:gd name="connsiteY2" fmla="*/ 1278127 h 3849874"/>
                <a:gd name="connsiteX3" fmla="*/ 37 w 5125958"/>
                <a:gd name="connsiteY3" fmla="*/ 2547601 h 3849874"/>
                <a:gd name="connsiteX4" fmla="*/ 854358 w 5125958"/>
                <a:gd name="connsiteY4" fmla="*/ 3817079 h 3849874"/>
                <a:gd name="connsiteX5" fmla="*/ 1708677 w 5125958"/>
                <a:gd name="connsiteY5" fmla="*/ 3817079 h 3849874"/>
                <a:gd name="connsiteX6" fmla="*/ 5125958 w 5125958"/>
                <a:gd name="connsiteY6" fmla="*/ 3849875 h 3849874"/>
                <a:gd name="connsiteX7" fmla="*/ 5125956 w 5125958"/>
                <a:gd name="connsiteY7" fmla="*/ 2547605 h 3849874"/>
                <a:gd name="connsiteX0" fmla="*/ 1708712 w 5125993"/>
                <a:gd name="connsiteY0" fmla="*/ 134 h 3841358"/>
                <a:gd name="connsiteX1" fmla="*/ 854393 w 5125993"/>
                <a:gd name="connsiteY1" fmla="*/ 134 h 3841358"/>
                <a:gd name="connsiteX2" fmla="*/ 75 w 5125993"/>
                <a:gd name="connsiteY2" fmla="*/ 1269611 h 3841358"/>
                <a:gd name="connsiteX3" fmla="*/ 72 w 5125993"/>
                <a:gd name="connsiteY3" fmla="*/ 2539085 h 3841358"/>
                <a:gd name="connsiteX4" fmla="*/ 854393 w 5125993"/>
                <a:gd name="connsiteY4" fmla="*/ 3808563 h 3841358"/>
                <a:gd name="connsiteX5" fmla="*/ 1708712 w 5125993"/>
                <a:gd name="connsiteY5" fmla="*/ 3808563 h 3841358"/>
                <a:gd name="connsiteX6" fmla="*/ 5125993 w 5125993"/>
                <a:gd name="connsiteY6" fmla="*/ 3841359 h 3841358"/>
                <a:gd name="connsiteX7" fmla="*/ 5125991 w 5125993"/>
                <a:gd name="connsiteY7" fmla="*/ 2539089 h 3841358"/>
                <a:gd name="connsiteX0" fmla="*/ 1708712 w 5125993"/>
                <a:gd name="connsiteY0" fmla="*/ 134 h 3841358"/>
                <a:gd name="connsiteX1" fmla="*/ 854393 w 5125993"/>
                <a:gd name="connsiteY1" fmla="*/ 134 h 3841358"/>
                <a:gd name="connsiteX2" fmla="*/ 75 w 5125993"/>
                <a:gd name="connsiteY2" fmla="*/ 1269611 h 3841358"/>
                <a:gd name="connsiteX3" fmla="*/ 72 w 5125993"/>
                <a:gd name="connsiteY3" fmla="*/ 2539085 h 3841358"/>
                <a:gd name="connsiteX4" fmla="*/ 854393 w 5125993"/>
                <a:gd name="connsiteY4" fmla="*/ 3808563 h 3841358"/>
                <a:gd name="connsiteX5" fmla="*/ 1708712 w 5125993"/>
                <a:gd name="connsiteY5" fmla="*/ 3808563 h 3841358"/>
                <a:gd name="connsiteX6" fmla="*/ 5125993 w 5125993"/>
                <a:gd name="connsiteY6" fmla="*/ 3841359 h 3841358"/>
                <a:gd name="connsiteX7" fmla="*/ 5125988 w 5125993"/>
                <a:gd name="connsiteY7" fmla="*/ 129 h 3841358"/>
                <a:gd name="connsiteX0" fmla="*/ 1708712 w 5125993"/>
                <a:gd name="connsiteY0" fmla="*/ 134 h 3841358"/>
                <a:gd name="connsiteX1" fmla="*/ 854393 w 5125993"/>
                <a:gd name="connsiteY1" fmla="*/ 134 h 3841358"/>
                <a:gd name="connsiteX2" fmla="*/ 75 w 5125993"/>
                <a:gd name="connsiteY2" fmla="*/ 1269611 h 3841358"/>
                <a:gd name="connsiteX3" fmla="*/ 72 w 5125993"/>
                <a:gd name="connsiteY3" fmla="*/ 2539085 h 3841358"/>
                <a:gd name="connsiteX4" fmla="*/ 854393 w 5125993"/>
                <a:gd name="connsiteY4" fmla="*/ 3808563 h 3841358"/>
                <a:gd name="connsiteX5" fmla="*/ 1708712 w 5125993"/>
                <a:gd name="connsiteY5" fmla="*/ 3808563 h 3841358"/>
                <a:gd name="connsiteX6" fmla="*/ 5125993 w 5125993"/>
                <a:gd name="connsiteY6" fmla="*/ 3841359 h 3841358"/>
                <a:gd name="connsiteX7" fmla="*/ 5125988 w 5125993"/>
                <a:gd name="connsiteY7" fmla="*/ 129 h 3841358"/>
                <a:gd name="connsiteX0" fmla="*/ 1708712 w 5125993"/>
                <a:gd name="connsiteY0" fmla="*/ 134 h 3841358"/>
                <a:gd name="connsiteX1" fmla="*/ 854393 w 5125993"/>
                <a:gd name="connsiteY1" fmla="*/ 134 h 3841358"/>
                <a:gd name="connsiteX2" fmla="*/ 75 w 5125993"/>
                <a:gd name="connsiteY2" fmla="*/ 1269611 h 3841358"/>
                <a:gd name="connsiteX3" fmla="*/ 72 w 5125993"/>
                <a:gd name="connsiteY3" fmla="*/ 2539085 h 3841358"/>
                <a:gd name="connsiteX4" fmla="*/ 854393 w 5125993"/>
                <a:gd name="connsiteY4" fmla="*/ 3808563 h 3841358"/>
                <a:gd name="connsiteX5" fmla="*/ 1708712 w 5125993"/>
                <a:gd name="connsiteY5" fmla="*/ 3808563 h 3841358"/>
                <a:gd name="connsiteX6" fmla="*/ 5125993 w 5125993"/>
                <a:gd name="connsiteY6" fmla="*/ 3841359 h 3841358"/>
                <a:gd name="connsiteX7" fmla="*/ 5125988 w 5125993"/>
                <a:gd name="connsiteY7" fmla="*/ 129 h 3841358"/>
                <a:gd name="connsiteX0" fmla="*/ 1708712 w 5125993"/>
                <a:gd name="connsiteY0" fmla="*/ 134 h 4167197"/>
                <a:gd name="connsiteX1" fmla="*/ 854393 w 5125993"/>
                <a:gd name="connsiteY1" fmla="*/ 134 h 4167197"/>
                <a:gd name="connsiteX2" fmla="*/ 75 w 5125993"/>
                <a:gd name="connsiteY2" fmla="*/ 1269611 h 4167197"/>
                <a:gd name="connsiteX3" fmla="*/ 72 w 5125993"/>
                <a:gd name="connsiteY3" fmla="*/ 2539085 h 4167197"/>
                <a:gd name="connsiteX4" fmla="*/ 854393 w 5125993"/>
                <a:gd name="connsiteY4" fmla="*/ 3808563 h 4167197"/>
                <a:gd name="connsiteX5" fmla="*/ 5125993 w 5125993"/>
                <a:gd name="connsiteY5" fmla="*/ 3841359 h 4167197"/>
                <a:gd name="connsiteX6" fmla="*/ 5125988 w 5125993"/>
                <a:gd name="connsiteY6" fmla="*/ 129 h 4167197"/>
                <a:gd name="connsiteX0" fmla="*/ 1708712 w 5125993"/>
                <a:gd name="connsiteY0" fmla="*/ 134 h 3908863"/>
                <a:gd name="connsiteX1" fmla="*/ 854393 w 5125993"/>
                <a:gd name="connsiteY1" fmla="*/ 134 h 3908863"/>
                <a:gd name="connsiteX2" fmla="*/ 75 w 5125993"/>
                <a:gd name="connsiteY2" fmla="*/ 1269611 h 3908863"/>
                <a:gd name="connsiteX3" fmla="*/ 72 w 5125993"/>
                <a:gd name="connsiteY3" fmla="*/ 2539085 h 3908863"/>
                <a:gd name="connsiteX4" fmla="*/ 854393 w 5125993"/>
                <a:gd name="connsiteY4" fmla="*/ 3808563 h 3908863"/>
                <a:gd name="connsiteX5" fmla="*/ 5125993 w 5125993"/>
                <a:gd name="connsiteY5" fmla="*/ 3841359 h 3908863"/>
                <a:gd name="connsiteX6" fmla="*/ 5125988 w 5125993"/>
                <a:gd name="connsiteY6" fmla="*/ 129 h 3908863"/>
                <a:gd name="connsiteX0" fmla="*/ 1708712 w 5125993"/>
                <a:gd name="connsiteY0" fmla="*/ 134 h 3841357"/>
                <a:gd name="connsiteX1" fmla="*/ 854393 w 5125993"/>
                <a:gd name="connsiteY1" fmla="*/ 134 h 3841357"/>
                <a:gd name="connsiteX2" fmla="*/ 75 w 5125993"/>
                <a:gd name="connsiteY2" fmla="*/ 1269611 h 3841357"/>
                <a:gd name="connsiteX3" fmla="*/ 72 w 5125993"/>
                <a:gd name="connsiteY3" fmla="*/ 2539085 h 3841357"/>
                <a:gd name="connsiteX4" fmla="*/ 854393 w 5125993"/>
                <a:gd name="connsiteY4" fmla="*/ 3808563 h 3841357"/>
                <a:gd name="connsiteX5" fmla="*/ 5125993 w 5125993"/>
                <a:gd name="connsiteY5" fmla="*/ 3841359 h 3841357"/>
                <a:gd name="connsiteX6" fmla="*/ 5125988 w 5125993"/>
                <a:gd name="connsiteY6" fmla="*/ 129 h 3841357"/>
                <a:gd name="connsiteX0" fmla="*/ 1708712 w 5125993"/>
                <a:gd name="connsiteY0" fmla="*/ 134 h 3841357"/>
                <a:gd name="connsiteX1" fmla="*/ 854393 w 5125993"/>
                <a:gd name="connsiteY1" fmla="*/ 134 h 3841357"/>
                <a:gd name="connsiteX2" fmla="*/ 75 w 5125993"/>
                <a:gd name="connsiteY2" fmla="*/ 1269611 h 3841357"/>
                <a:gd name="connsiteX3" fmla="*/ 72 w 5125993"/>
                <a:gd name="connsiteY3" fmla="*/ 2539085 h 3841357"/>
                <a:gd name="connsiteX4" fmla="*/ 854393 w 5125993"/>
                <a:gd name="connsiteY4" fmla="*/ 3808563 h 3841357"/>
                <a:gd name="connsiteX5" fmla="*/ 5125993 w 5125993"/>
                <a:gd name="connsiteY5" fmla="*/ 3841359 h 3841357"/>
                <a:gd name="connsiteX6" fmla="*/ 5125988 w 5125993"/>
                <a:gd name="connsiteY6" fmla="*/ 129 h 3841357"/>
                <a:gd name="connsiteX0" fmla="*/ 1708712 w 5125993"/>
                <a:gd name="connsiteY0" fmla="*/ 134 h 3841357"/>
                <a:gd name="connsiteX1" fmla="*/ 854393 w 5125993"/>
                <a:gd name="connsiteY1" fmla="*/ 134 h 3841357"/>
                <a:gd name="connsiteX2" fmla="*/ 75 w 5125993"/>
                <a:gd name="connsiteY2" fmla="*/ 1269611 h 3841357"/>
                <a:gd name="connsiteX3" fmla="*/ 72 w 5125993"/>
                <a:gd name="connsiteY3" fmla="*/ 2539085 h 3841357"/>
                <a:gd name="connsiteX4" fmla="*/ 854393 w 5125993"/>
                <a:gd name="connsiteY4" fmla="*/ 3808563 h 3841357"/>
                <a:gd name="connsiteX5" fmla="*/ 5125993 w 5125993"/>
                <a:gd name="connsiteY5" fmla="*/ 3841359 h 3841357"/>
                <a:gd name="connsiteX6" fmla="*/ 5125988 w 5125993"/>
                <a:gd name="connsiteY6" fmla="*/ 129 h 3841357"/>
                <a:gd name="connsiteX0" fmla="*/ 1708637 w 5125918"/>
                <a:gd name="connsiteY0" fmla="*/ 108 h 3841331"/>
                <a:gd name="connsiteX1" fmla="*/ 854318 w 5125918"/>
                <a:gd name="connsiteY1" fmla="*/ 108 h 3841331"/>
                <a:gd name="connsiteX2" fmla="*/ 0 w 5125918"/>
                <a:gd name="connsiteY2" fmla="*/ 1269585 h 3841331"/>
                <a:gd name="connsiteX3" fmla="*/ 854318 w 5125918"/>
                <a:gd name="connsiteY3" fmla="*/ 3808537 h 3841331"/>
                <a:gd name="connsiteX4" fmla="*/ 5125918 w 5125918"/>
                <a:gd name="connsiteY4" fmla="*/ 3841333 h 3841331"/>
                <a:gd name="connsiteX5" fmla="*/ 5125913 w 5125918"/>
                <a:gd name="connsiteY5" fmla="*/ 103 h 3841331"/>
                <a:gd name="connsiteX0" fmla="*/ 1716853 w 5134134"/>
                <a:gd name="connsiteY0" fmla="*/ 148242 h 3989465"/>
                <a:gd name="connsiteX1" fmla="*/ 862534 w 5134134"/>
                <a:gd name="connsiteY1" fmla="*/ 148242 h 3989465"/>
                <a:gd name="connsiteX2" fmla="*/ 0 w 5134134"/>
                <a:gd name="connsiteY2" fmla="*/ 2149425 h 3989465"/>
                <a:gd name="connsiteX3" fmla="*/ 862534 w 5134134"/>
                <a:gd name="connsiteY3" fmla="*/ 3956671 h 3989465"/>
                <a:gd name="connsiteX4" fmla="*/ 5134134 w 5134134"/>
                <a:gd name="connsiteY4" fmla="*/ 3989467 h 3989465"/>
                <a:gd name="connsiteX5" fmla="*/ 5134129 w 5134134"/>
                <a:gd name="connsiteY5" fmla="*/ 148237 h 3989465"/>
                <a:gd name="connsiteX0" fmla="*/ 1716853 w 5134134"/>
                <a:gd name="connsiteY0" fmla="*/ 129109 h 3970332"/>
                <a:gd name="connsiteX1" fmla="*/ 862534 w 5134134"/>
                <a:gd name="connsiteY1" fmla="*/ 129109 h 3970332"/>
                <a:gd name="connsiteX2" fmla="*/ 0 w 5134134"/>
                <a:gd name="connsiteY2" fmla="*/ 1872041 h 3970332"/>
                <a:gd name="connsiteX3" fmla="*/ 862534 w 5134134"/>
                <a:gd name="connsiteY3" fmla="*/ 3937538 h 3970332"/>
                <a:gd name="connsiteX4" fmla="*/ 5134134 w 5134134"/>
                <a:gd name="connsiteY4" fmla="*/ 3970334 h 3970332"/>
                <a:gd name="connsiteX5" fmla="*/ 5134129 w 5134134"/>
                <a:gd name="connsiteY5" fmla="*/ 129104 h 3970332"/>
                <a:gd name="connsiteX0" fmla="*/ 1716853 w 5134134"/>
                <a:gd name="connsiteY0" fmla="*/ 122727 h 3963950"/>
                <a:gd name="connsiteX1" fmla="*/ 862534 w 5134134"/>
                <a:gd name="connsiteY1" fmla="*/ 122727 h 3963950"/>
                <a:gd name="connsiteX2" fmla="*/ 0 w 5134134"/>
                <a:gd name="connsiteY2" fmla="*/ 1779575 h 3963950"/>
                <a:gd name="connsiteX3" fmla="*/ 862534 w 5134134"/>
                <a:gd name="connsiteY3" fmla="*/ 3931156 h 3963950"/>
                <a:gd name="connsiteX4" fmla="*/ 5134134 w 5134134"/>
                <a:gd name="connsiteY4" fmla="*/ 3963952 h 3963950"/>
                <a:gd name="connsiteX5" fmla="*/ 5134129 w 5134134"/>
                <a:gd name="connsiteY5" fmla="*/ 122722 h 3963950"/>
                <a:gd name="connsiteX0" fmla="*/ 1810124 w 5227405"/>
                <a:gd name="connsiteY0" fmla="*/ 122727 h 3963950"/>
                <a:gd name="connsiteX1" fmla="*/ 955805 w 5227405"/>
                <a:gd name="connsiteY1" fmla="*/ 122727 h 3963950"/>
                <a:gd name="connsiteX2" fmla="*/ 93271 w 5227405"/>
                <a:gd name="connsiteY2" fmla="*/ 1779575 h 3963950"/>
                <a:gd name="connsiteX3" fmla="*/ 602577 w 5227405"/>
                <a:gd name="connsiteY3" fmla="*/ 3888127 h 3963950"/>
                <a:gd name="connsiteX4" fmla="*/ 5227405 w 5227405"/>
                <a:gd name="connsiteY4" fmla="*/ 3963952 h 3963950"/>
                <a:gd name="connsiteX5" fmla="*/ 5227400 w 5227405"/>
                <a:gd name="connsiteY5" fmla="*/ 122722 h 3963950"/>
                <a:gd name="connsiteX0" fmla="*/ 1734655 w 5151936"/>
                <a:gd name="connsiteY0" fmla="*/ 122727 h 3963950"/>
                <a:gd name="connsiteX1" fmla="*/ 880336 w 5151936"/>
                <a:gd name="connsiteY1" fmla="*/ 122727 h 3963950"/>
                <a:gd name="connsiteX2" fmla="*/ 17802 w 5151936"/>
                <a:gd name="connsiteY2" fmla="*/ 1779575 h 3963950"/>
                <a:gd name="connsiteX3" fmla="*/ 527108 w 5151936"/>
                <a:gd name="connsiteY3" fmla="*/ 3888127 h 3963950"/>
                <a:gd name="connsiteX4" fmla="*/ 5151936 w 5151936"/>
                <a:gd name="connsiteY4" fmla="*/ 3963952 h 3963950"/>
                <a:gd name="connsiteX5" fmla="*/ 5151931 w 5151936"/>
                <a:gd name="connsiteY5" fmla="*/ 122722 h 3963950"/>
                <a:gd name="connsiteX0" fmla="*/ 1760908 w 5178189"/>
                <a:gd name="connsiteY0" fmla="*/ 122727 h 3963950"/>
                <a:gd name="connsiteX1" fmla="*/ 906589 w 5178189"/>
                <a:gd name="connsiteY1" fmla="*/ 122727 h 3963950"/>
                <a:gd name="connsiteX2" fmla="*/ 44055 w 5178189"/>
                <a:gd name="connsiteY2" fmla="*/ 1779575 h 3963950"/>
                <a:gd name="connsiteX3" fmla="*/ 438358 w 5178189"/>
                <a:gd name="connsiteY3" fmla="*/ 3888127 h 3963950"/>
                <a:gd name="connsiteX4" fmla="*/ 5178189 w 5178189"/>
                <a:gd name="connsiteY4" fmla="*/ 3963952 h 3963950"/>
                <a:gd name="connsiteX5" fmla="*/ 5178184 w 5178189"/>
                <a:gd name="connsiteY5" fmla="*/ 122722 h 3963950"/>
                <a:gd name="connsiteX0" fmla="*/ 1741320 w 5158601"/>
                <a:gd name="connsiteY0" fmla="*/ 122727 h 3963950"/>
                <a:gd name="connsiteX1" fmla="*/ 887001 w 5158601"/>
                <a:gd name="connsiteY1" fmla="*/ 122727 h 3963950"/>
                <a:gd name="connsiteX2" fmla="*/ 24467 w 5158601"/>
                <a:gd name="connsiteY2" fmla="*/ 1779575 h 3963950"/>
                <a:gd name="connsiteX3" fmla="*/ 418770 w 5158601"/>
                <a:gd name="connsiteY3" fmla="*/ 3888127 h 3963950"/>
                <a:gd name="connsiteX4" fmla="*/ 5158601 w 5158601"/>
                <a:gd name="connsiteY4" fmla="*/ 3963952 h 3963950"/>
                <a:gd name="connsiteX5" fmla="*/ 5158596 w 5158601"/>
                <a:gd name="connsiteY5" fmla="*/ 122722 h 3963950"/>
                <a:gd name="connsiteX0" fmla="*/ 1738314 w 5155595"/>
                <a:gd name="connsiteY0" fmla="*/ 122727 h 3963950"/>
                <a:gd name="connsiteX1" fmla="*/ 883995 w 5155595"/>
                <a:gd name="connsiteY1" fmla="*/ 122727 h 3963950"/>
                <a:gd name="connsiteX2" fmla="*/ 21461 w 5155595"/>
                <a:gd name="connsiteY2" fmla="*/ 1779575 h 3963950"/>
                <a:gd name="connsiteX3" fmla="*/ 415764 w 5155595"/>
                <a:gd name="connsiteY3" fmla="*/ 3888127 h 3963950"/>
                <a:gd name="connsiteX4" fmla="*/ 5155595 w 5155595"/>
                <a:gd name="connsiteY4" fmla="*/ 3963952 h 3963950"/>
                <a:gd name="connsiteX5" fmla="*/ 5155590 w 5155595"/>
                <a:gd name="connsiteY5" fmla="*/ 122722 h 3963950"/>
                <a:gd name="connsiteX0" fmla="*/ 1740510 w 5157791"/>
                <a:gd name="connsiteY0" fmla="*/ 122727 h 3963950"/>
                <a:gd name="connsiteX1" fmla="*/ 886191 w 5157791"/>
                <a:gd name="connsiteY1" fmla="*/ 122727 h 3963950"/>
                <a:gd name="connsiteX2" fmla="*/ 23657 w 5157791"/>
                <a:gd name="connsiteY2" fmla="*/ 1779575 h 3963950"/>
                <a:gd name="connsiteX3" fmla="*/ 417960 w 5157791"/>
                <a:gd name="connsiteY3" fmla="*/ 3888127 h 3963950"/>
                <a:gd name="connsiteX4" fmla="*/ 5157791 w 5157791"/>
                <a:gd name="connsiteY4" fmla="*/ 3963952 h 3963950"/>
                <a:gd name="connsiteX5" fmla="*/ 5157786 w 5157791"/>
                <a:gd name="connsiteY5" fmla="*/ 122722 h 3963950"/>
                <a:gd name="connsiteX0" fmla="*/ 1716868 w 5134149"/>
                <a:gd name="connsiteY0" fmla="*/ 155528 h 3996751"/>
                <a:gd name="connsiteX1" fmla="*/ 386102 w 5134149"/>
                <a:gd name="connsiteY1" fmla="*/ 112477 h 3996751"/>
                <a:gd name="connsiteX2" fmla="*/ 15 w 5134149"/>
                <a:gd name="connsiteY2" fmla="*/ 1812376 h 3996751"/>
                <a:gd name="connsiteX3" fmla="*/ 394318 w 5134149"/>
                <a:gd name="connsiteY3" fmla="*/ 3920928 h 3996751"/>
                <a:gd name="connsiteX4" fmla="*/ 5134149 w 5134149"/>
                <a:gd name="connsiteY4" fmla="*/ 3996753 h 3996751"/>
                <a:gd name="connsiteX5" fmla="*/ 5134144 w 5134149"/>
                <a:gd name="connsiteY5" fmla="*/ 155523 h 3996751"/>
                <a:gd name="connsiteX0" fmla="*/ 1716863 w 5134144"/>
                <a:gd name="connsiteY0" fmla="*/ 62197 h 3903420"/>
                <a:gd name="connsiteX1" fmla="*/ 386097 w 5134144"/>
                <a:gd name="connsiteY1" fmla="*/ 19146 h 3903420"/>
                <a:gd name="connsiteX2" fmla="*/ 10 w 5134144"/>
                <a:gd name="connsiteY2" fmla="*/ 1719045 h 3903420"/>
                <a:gd name="connsiteX3" fmla="*/ 394313 w 5134144"/>
                <a:gd name="connsiteY3" fmla="*/ 3827597 h 3903420"/>
                <a:gd name="connsiteX4" fmla="*/ 5134144 w 5134144"/>
                <a:gd name="connsiteY4" fmla="*/ 3903422 h 3903420"/>
                <a:gd name="connsiteX5" fmla="*/ 5134139 w 5134144"/>
                <a:gd name="connsiteY5" fmla="*/ 62192 h 3903420"/>
                <a:gd name="connsiteX0" fmla="*/ 846110 w 5134139"/>
                <a:gd name="connsiteY0" fmla="*/ 72927 h 4043272"/>
                <a:gd name="connsiteX1" fmla="*/ 386092 w 5134139"/>
                <a:gd name="connsiteY1" fmla="*/ 158998 h 4043272"/>
                <a:gd name="connsiteX2" fmla="*/ 5 w 5134139"/>
                <a:gd name="connsiteY2" fmla="*/ 1858897 h 4043272"/>
                <a:gd name="connsiteX3" fmla="*/ 394308 w 5134139"/>
                <a:gd name="connsiteY3" fmla="*/ 3967449 h 4043272"/>
                <a:gd name="connsiteX4" fmla="*/ 5134139 w 5134139"/>
                <a:gd name="connsiteY4" fmla="*/ 4043274 h 4043272"/>
                <a:gd name="connsiteX5" fmla="*/ 5134134 w 5134139"/>
                <a:gd name="connsiteY5" fmla="*/ 202044 h 4043272"/>
                <a:gd name="connsiteX0" fmla="*/ 862537 w 5134139"/>
                <a:gd name="connsiteY0" fmla="*/ 72927 h 4043272"/>
                <a:gd name="connsiteX1" fmla="*/ 386092 w 5134139"/>
                <a:gd name="connsiteY1" fmla="*/ 158998 h 4043272"/>
                <a:gd name="connsiteX2" fmla="*/ 5 w 5134139"/>
                <a:gd name="connsiteY2" fmla="*/ 1858897 h 4043272"/>
                <a:gd name="connsiteX3" fmla="*/ 394308 w 5134139"/>
                <a:gd name="connsiteY3" fmla="*/ 3967449 h 4043272"/>
                <a:gd name="connsiteX4" fmla="*/ 5134139 w 5134139"/>
                <a:gd name="connsiteY4" fmla="*/ 4043274 h 4043272"/>
                <a:gd name="connsiteX5" fmla="*/ 5134134 w 5134139"/>
                <a:gd name="connsiteY5" fmla="*/ 202044 h 4043272"/>
                <a:gd name="connsiteX0" fmla="*/ 862537 w 5134139"/>
                <a:gd name="connsiteY0" fmla="*/ 72927 h 4043272"/>
                <a:gd name="connsiteX1" fmla="*/ 386092 w 5134139"/>
                <a:gd name="connsiteY1" fmla="*/ 158998 h 4043272"/>
                <a:gd name="connsiteX2" fmla="*/ 5 w 5134139"/>
                <a:gd name="connsiteY2" fmla="*/ 1858897 h 4043272"/>
                <a:gd name="connsiteX3" fmla="*/ 394308 w 5134139"/>
                <a:gd name="connsiteY3" fmla="*/ 3967449 h 4043272"/>
                <a:gd name="connsiteX4" fmla="*/ 5134139 w 5134139"/>
                <a:gd name="connsiteY4" fmla="*/ 4043274 h 4043272"/>
                <a:gd name="connsiteX5" fmla="*/ 5134134 w 5134139"/>
                <a:gd name="connsiteY5" fmla="*/ 202044 h 4043272"/>
                <a:gd name="connsiteX0" fmla="*/ 875547 w 5147149"/>
                <a:gd name="connsiteY0" fmla="*/ 0 h 3970345"/>
                <a:gd name="connsiteX1" fmla="*/ 703040 w 5147149"/>
                <a:gd name="connsiteY1" fmla="*/ 1678604 h 3970345"/>
                <a:gd name="connsiteX2" fmla="*/ 13015 w 5147149"/>
                <a:gd name="connsiteY2" fmla="*/ 1785970 h 3970345"/>
                <a:gd name="connsiteX3" fmla="*/ 407318 w 5147149"/>
                <a:gd name="connsiteY3" fmla="*/ 3894522 h 3970345"/>
                <a:gd name="connsiteX4" fmla="*/ 5147149 w 5147149"/>
                <a:gd name="connsiteY4" fmla="*/ 3970347 h 3970345"/>
                <a:gd name="connsiteX5" fmla="*/ 5147144 w 5147149"/>
                <a:gd name="connsiteY5" fmla="*/ 129117 h 3970345"/>
                <a:gd name="connsiteX0" fmla="*/ 875547 w 5147149"/>
                <a:gd name="connsiteY0" fmla="*/ 0 h 3970345"/>
                <a:gd name="connsiteX1" fmla="*/ 703040 w 5147149"/>
                <a:gd name="connsiteY1" fmla="*/ 1678604 h 3970345"/>
                <a:gd name="connsiteX2" fmla="*/ 13015 w 5147149"/>
                <a:gd name="connsiteY2" fmla="*/ 1785970 h 3970345"/>
                <a:gd name="connsiteX3" fmla="*/ 407318 w 5147149"/>
                <a:gd name="connsiteY3" fmla="*/ 3894522 h 3970345"/>
                <a:gd name="connsiteX4" fmla="*/ 5147149 w 5147149"/>
                <a:gd name="connsiteY4" fmla="*/ 3970347 h 3970345"/>
                <a:gd name="connsiteX5" fmla="*/ 5147144 w 5147149"/>
                <a:gd name="connsiteY5" fmla="*/ 129117 h 3970345"/>
                <a:gd name="connsiteX0" fmla="*/ 862692 w 5134294"/>
                <a:gd name="connsiteY0" fmla="*/ 33128 h 4003473"/>
                <a:gd name="connsiteX1" fmla="*/ 353386 w 5134294"/>
                <a:gd name="connsiteY1" fmla="*/ 162234 h 4003473"/>
                <a:gd name="connsiteX2" fmla="*/ 160 w 5134294"/>
                <a:gd name="connsiteY2" fmla="*/ 1819098 h 4003473"/>
                <a:gd name="connsiteX3" fmla="*/ 394463 w 5134294"/>
                <a:gd name="connsiteY3" fmla="*/ 3927650 h 4003473"/>
                <a:gd name="connsiteX4" fmla="*/ 5134294 w 5134294"/>
                <a:gd name="connsiteY4" fmla="*/ 4003475 h 4003473"/>
                <a:gd name="connsiteX5" fmla="*/ 5134289 w 5134294"/>
                <a:gd name="connsiteY5" fmla="*/ 162245 h 4003473"/>
                <a:gd name="connsiteX0" fmla="*/ 863730 w 5135332"/>
                <a:gd name="connsiteY0" fmla="*/ 0 h 3970345"/>
                <a:gd name="connsiteX1" fmla="*/ 354424 w 5135332"/>
                <a:gd name="connsiteY1" fmla="*/ 129106 h 3970345"/>
                <a:gd name="connsiteX2" fmla="*/ 1198 w 5135332"/>
                <a:gd name="connsiteY2" fmla="*/ 1785970 h 3970345"/>
                <a:gd name="connsiteX3" fmla="*/ 395501 w 5135332"/>
                <a:gd name="connsiteY3" fmla="*/ 3894522 h 3970345"/>
                <a:gd name="connsiteX4" fmla="*/ 5135332 w 5135332"/>
                <a:gd name="connsiteY4" fmla="*/ 3970347 h 3970345"/>
                <a:gd name="connsiteX5" fmla="*/ 5135327 w 5135332"/>
                <a:gd name="connsiteY5" fmla="*/ 129117 h 3970345"/>
                <a:gd name="connsiteX0" fmla="*/ 862747 w 5134349"/>
                <a:gd name="connsiteY0" fmla="*/ 0 h 3970345"/>
                <a:gd name="connsiteX1" fmla="*/ 353441 w 5134349"/>
                <a:gd name="connsiteY1" fmla="*/ 129106 h 3970345"/>
                <a:gd name="connsiteX2" fmla="*/ 215 w 5134349"/>
                <a:gd name="connsiteY2" fmla="*/ 1785970 h 3970345"/>
                <a:gd name="connsiteX3" fmla="*/ 394518 w 5134349"/>
                <a:gd name="connsiteY3" fmla="*/ 3894522 h 3970345"/>
                <a:gd name="connsiteX4" fmla="*/ 5134349 w 5134349"/>
                <a:gd name="connsiteY4" fmla="*/ 3970347 h 3970345"/>
                <a:gd name="connsiteX5" fmla="*/ 5134344 w 5134349"/>
                <a:gd name="connsiteY5" fmla="*/ 129117 h 3970345"/>
                <a:gd name="connsiteX0" fmla="*/ 862747 w 5134349"/>
                <a:gd name="connsiteY0" fmla="*/ 0 h 3970345"/>
                <a:gd name="connsiteX1" fmla="*/ 353441 w 5134349"/>
                <a:gd name="connsiteY1" fmla="*/ 129106 h 3970345"/>
                <a:gd name="connsiteX2" fmla="*/ 215 w 5134349"/>
                <a:gd name="connsiteY2" fmla="*/ 1785970 h 3970345"/>
                <a:gd name="connsiteX3" fmla="*/ 394518 w 5134349"/>
                <a:gd name="connsiteY3" fmla="*/ 3894522 h 3970345"/>
                <a:gd name="connsiteX4" fmla="*/ 5134349 w 5134349"/>
                <a:gd name="connsiteY4" fmla="*/ 3970347 h 3970345"/>
                <a:gd name="connsiteX5" fmla="*/ 5134344 w 5134349"/>
                <a:gd name="connsiteY5" fmla="*/ 129117 h 3970345"/>
                <a:gd name="connsiteX0" fmla="*/ 862692 w 5134294"/>
                <a:gd name="connsiteY0" fmla="*/ 144649 h 3942839"/>
                <a:gd name="connsiteX1" fmla="*/ 353386 w 5134294"/>
                <a:gd name="connsiteY1" fmla="*/ 101600 h 3942839"/>
                <a:gd name="connsiteX2" fmla="*/ 160 w 5134294"/>
                <a:gd name="connsiteY2" fmla="*/ 1758464 h 3942839"/>
                <a:gd name="connsiteX3" fmla="*/ 394463 w 5134294"/>
                <a:gd name="connsiteY3" fmla="*/ 3867016 h 3942839"/>
                <a:gd name="connsiteX4" fmla="*/ 5134294 w 5134294"/>
                <a:gd name="connsiteY4" fmla="*/ 3942841 h 3942839"/>
                <a:gd name="connsiteX5" fmla="*/ 5134289 w 5134294"/>
                <a:gd name="connsiteY5" fmla="*/ 101611 h 3942839"/>
                <a:gd name="connsiteX0" fmla="*/ 862692 w 5134294"/>
                <a:gd name="connsiteY0" fmla="*/ 57503 h 3984813"/>
                <a:gd name="connsiteX1" fmla="*/ 353386 w 5134294"/>
                <a:gd name="connsiteY1" fmla="*/ 143574 h 3984813"/>
                <a:gd name="connsiteX2" fmla="*/ 160 w 5134294"/>
                <a:gd name="connsiteY2" fmla="*/ 1800438 h 3984813"/>
                <a:gd name="connsiteX3" fmla="*/ 394463 w 5134294"/>
                <a:gd name="connsiteY3" fmla="*/ 3908990 h 3984813"/>
                <a:gd name="connsiteX4" fmla="*/ 5134294 w 5134294"/>
                <a:gd name="connsiteY4" fmla="*/ 3984815 h 3984813"/>
                <a:gd name="connsiteX5" fmla="*/ 5134289 w 5134294"/>
                <a:gd name="connsiteY5" fmla="*/ 143585 h 3984813"/>
                <a:gd name="connsiteX0" fmla="*/ 862694 w 5134294"/>
                <a:gd name="connsiteY0" fmla="*/ 113617 h 3954987"/>
                <a:gd name="connsiteX1" fmla="*/ 353386 w 5134294"/>
                <a:gd name="connsiteY1" fmla="*/ 113748 h 3954987"/>
                <a:gd name="connsiteX2" fmla="*/ 160 w 5134294"/>
                <a:gd name="connsiteY2" fmla="*/ 1770612 h 3954987"/>
                <a:gd name="connsiteX3" fmla="*/ 394463 w 5134294"/>
                <a:gd name="connsiteY3" fmla="*/ 3879164 h 3954987"/>
                <a:gd name="connsiteX4" fmla="*/ 5134294 w 5134294"/>
                <a:gd name="connsiteY4" fmla="*/ 3954989 h 3954987"/>
                <a:gd name="connsiteX5" fmla="*/ 5134289 w 5134294"/>
                <a:gd name="connsiteY5" fmla="*/ 113759 h 3954987"/>
                <a:gd name="connsiteX0" fmla="*/ 862694 w 5134294"/>
                <a:gd name="connsiteY0" fmla="*/ 19592 h 3860962"/>
                <a:gd name="connsiteX1" fmla="*/ 353386 w 5134294"/>
                <a:gd name="connsiteY1" fmla="*/ 19723 h 3860962"/>
                <a:gd name="connsiteX2" fmla="*/ 160 w 5134294"/>
                <a:gd name="connsiteY2" fmla="*/ 1676587 h 3860962"/>
                <a:gd name="connsiteX3" fmla="*/ 394463 w 5134294"/>
                <a:gd name="connsiteY3" fmla="*/ 3785139 h 3860962"/>
                <a:gd name="connsiteX4" fmla="*/ 5134294 w 5134294"/>
                <a:gd name="connsiteY4" fmla="*/ 3860964 h 3860962"/>
                <a:gd name="connsiteX5" fmla="*/ 5134289 w 5134294"/>
                <a:gd name="connsiteY5" fmla="*/ 19734 h 3860962"/>
                <a:gd name="connsiteX0" fmla="*/ 862769 w 5134369"/>
                <a:gd name="connsiteY0" fmla="*/ 19592 h 3860962"/>
                <a:gd name="connsiteX1" fmla="*/ 353461 w 5134369"/>
                <a:gd name="connsiteY1" fmla="*/ 19723 h 3860962"/>
                <a:gd name="connsiteX2" fmla="*/ 235 w 5134369"/>
                <a:gd name="connsiteY2" fmla="*/ 1676587 h 3860962"/>
                <a:gd name="connsiteX3" fmla="*/ 394538 w 5134369"/>
                <a:gd name="connsiteY3" fmla="*/ 3785139 h 3860962"/>
                <a:gd name="connsiteX4" fmla="*/ 5134369 w 5134369"/>
                <a:gd name="connsiteY4" fmla="*/ 3860964 h 3860962"/>
                <a:gd name="connsiteX5" fmla="*/ 5134364 w 5134369"/>
                <a:gd name="connsiteY5" fmla="*/ 19734 h 3860962"/>
                <a:gd name="connsiteX0" fmla="*/ 846372 w 5117972"/>
                <a:gd name="connsiteY0" fmla="*/ 19592 h 3860962"/>
                <a:gd name="connsiteX1" fmla="*/ 337064 w 5117972"/>
                <a:gd name="connsiteY1" fmla="*/ 19723 h 3860962"/>
                <a:gd name="connsiteX2" fmla="*/ 267 w 5117972"/>
                <a:gd name="connsiteY2" fmla="*/ 1977874 h 3860962"/>
                <a:gd name="connsiteX3" fmla="*/ 378141 w 5117972"/>
                <a:gd name="connsiteY3" fmla="*/ 3785139 h 3860962"/>
                <a:gd name="connsiteX4" fmla="*/ 5117972 w 5117972"/>
                <a:gd name="connsiteY4" fmla="*/ 3860964 h 3860962"/>
                <a:gd name="connsiteX5" fmla="*/ 5117967 w 5117972"/>
                <a:gd name="connsiteY5" fmla="*/ 19734 h 3860962"/>
                <a:gd name="connsiteX0" fmla="*/ 846369 w 5117969"/>
                <a:gd name="connsiteY0" fmla="*/ 19592 h 3860962"/>
                <a:gd name="connsiteX1" fmla="*/ 337061 w 5117969"/>
                <a:gd name="connsiteY1" fmla="*/ 19723 h 3860962"/>
                <a:gd name="connsiteX2" fmla="*/ 265 w 5117969"/>
                <a:gd name="connsiteY2" fmla="*/ 1590502 h 3860962"/>
                <a:gd name="connsiteX3" fmla="*/ 378138 w 5117969"/>
                <a:gd name="connsiteY3" fmla="*/ 3785139 h 3860962"/>
                <a:gd name="connsiteX4" fmla="*/ 5117969 w 5117969"/>
                <a:gd name="connsiteY4" fmla="*/ 3860964 h 3860962"/>
                <a:gd name="connsiteX5" fmla="*/ 5117964 w 5117969"/>
                <a:gd name="connsiteY5" fmla="*/ 19734 h 3860962"/>
                <a:gd name="connsiteX0" fmla="*/ 1309482 w 5117969"/>
                <a:gd name="connsiteY0" fmla="*/ 19591 h 3860962"/>
                <a:gd name="connsiteX1" fmla="*/ 337061 w 5117969"/>
                <a:gd name="connsiteY1" fmla="*/ 19723 h 3860962"/>
                <a:gd name="connsiteX2" fmla="*/ 265 w 5117969"/>
                <a:gd name="connsiteY2" fmla="*/ 1590502 h 3860962"/>
                <a:gd name="connsiteX3" fmla="*/ 378138 w 5117969"/>
                <a:gd name="connsiteY3" fmla="*/ 3785139 h 3860962"/>
                <a:gd name="connsiteX4" fmla="*/ 5117969 w 5117969"/>
                <a:gd name="connsiteY4" fmla="*/ 3860964 h 3860962"/>
                <a:gd name="connsiteX5" fmla="*/ 5117964 w 5117969"/>
                <a:gd name="connsiteY5" fmla="*/ 19734 h 386096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5117969" h="3860962">
                  <a:moveTo>
                    <a:pt x="1309482" y="19591"/>
                  </a:moveTo>
                  <a:cubicBezTo>
                    <a:pt x="1295419" y="62640"/>
                    <a:pt x="480818" y="-41240"/>
                    <a:pt x="337061" y="19723"/>
                  </a:cubicBezTo>
                  <a:cubicBezTo>
                    <a:pt x="119374" y="80685"/>
                    <a:pt x="-6581" y="962933"/>
                    <a:pt x="265" y="1590502"/>
                  </a:cubicBezTo>
                  <a:cubicBezTo>
                    <a:pt x="7111" y="2218071"/>
                    <a:pt x="16694" y="3743886"/>
                    <a:pt x="378138" y="3785139"/>
                  </a:cubicBezTo>
                  <a:lnTo>
                    <a:pt x="5117969" y="3860964"/>
                  </a:lnTo>
                  <a:cubicBezTo>
                    <a:pt x="5117968" y="3426874"/>
                    <a:pt x="5117965" y="453824"/>
                    <a:pt x="5117964" y="19734"/>
                  </a:cubicBezTo>
                </a:path>
              </a:pathLst>
            </a:cu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4" name="Rectangle 73">
              <a:extLst>
                <a:ext uri="{FF2B5EF4-FFF2-40B4-BE49-F238E27FC236}">
                  <a16:creationId xmlns:a16="http://schemas.microsoft.com/office/drawing/2014/main" id="{00000000-0008-0000-0100-00004A000000}"/>
                </a:ext>
              </a:extLst>
            </xdr:cNvPr>
            <xdr:cNvSpPr/>
          </xdr:nvSpPr>
          <xdr:spPr>
            <a:xfrm>
              <a:off x="1582615" y="21035596"/>
              <a:ext cx="353073" cy="14515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ctr"/>
              <a:r>
                <a:rPr lang="en-US" sz="1000">
                  <a:solidFill>
                    <a:schemeClr val="tx1"/>
                  </a:solidFill>
                </a:rPr>
                <a:t>123</a:t>
              </a:r>
            </a:p>
          </xdr:txBody>
        </xdr:sp>
        <xdr:sp macro="" textlink="">
          <xdr:nvSpPr>
            <xdr:cNvPr id="75" name="Rectangle 74">
              <a:extLst>
                <a:ext uri="{FF2B5EF4-FFF2-40B4-BE49-F238E27FC236}">
                  <a16:creationId xmlns:a16="http://schemas.microsoft.com/office/drawing/2014/main" id="{00000000-0008-0000-0100-00004B000000}"/>
                </a:ext>
              </a:extLst>
            </xdr:cNvPr>
            <xdr:cNvSpPr/>
          </xdr:nvSpPr>
          <xdr:spPr>
            <a:xfrm rot="16200000">
              <a:off x="2365131" y="20858284"/>
              <a:ext cx="353073" cy="14515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ctr"/>
              <a:r>
                <a:rPr lang="en-US" sz="1000">
                  <a:solidFill>
                    <a:schemeClr val="tx1"/>
                  </a:solidFill>
                </a:rPr>
                <a:t>123</a:t>
              </a:r>
            </a:p>
          </xdr:txBody>
        </xdr:sp>
      </xdr:grpSp>
      <xdr:sp macro="" textlink="">
        <xdr:nvSpPr>
          <xdr:cNvPr id="72" name="Rectangle 71">
            <a:extLst>
              <a:ext uri="{FF2B5EF4-FFF2-40B4-BE49-F238E27FC236}">
                <a16:creationId xmlns:a16="http://schemas.microsoft.com/office/drawing/2014/main" id="{00000000-0008-0000-0100-000048000000}"/>
              </a:ext>
            </a:extLst>
          </xdr:cNvPr>
          <xdr:cNvSpPr/>
        </xdr:nvSpPr>
        <xdr:spPr>
          <a:xfrm>
            <a:off x="1087563" y="20578479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395654</xdr:colOff>
      <xdr:row>31</xdr:row>
      <xdr:rowOff>180325</xdr:rowOff>
    </xdr:from>
    <xdr:to>
      <xdr:col>1</xdr:col>
      <xdr:colOff>1991459</xdr:colOff>
      <xdr:row>31</xdr:row>
      <xdr:rowOff>650713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GrpSpPr/>
      </xdr:nvGrpSpPr>
      <xdr:grpSpPr>
        <a:xfrm>
          <a:off x="1017954" y="25751775"/>
          <a:ext cx="1595805" cy="470388"/>
          <a:chOff x="1003789" y="24000152"/>
          <a:chExt cx="1595805" cy="470388"/>
        </a:xfrm>
      </xdr:grpSpPr>
      <xdr:sp macro="" textlink="">
        <xdr:nvSpPr>
          <xdr:cNvPr id="77" name="Freeform 76">
            <a:extLst>
              <a:ext uri="{FF2B5EF4-FFF2-40B4-BE49-F238E27FC236}">
                <a16:creationId xmlns:a16="http://schemas.microsoft.com/office/drawing/2014/main" id="{00000000-0008-0000-0100-00004D000000}"/>
              </a:ext>
            </a:extLst>
          </xdr:cNvPr>
          <xdr:cNvSpPr/>
        </xdr:nvSpPr>
        <xdr:spPr>
          <a:xfrm>
            <a:off x="1003789" y="24008129"/>
            <a:ext cx="1428749" cy="285750"/>
          </a:xfrm>
          <a:custGeom>
            <a:avLst/>
            <a:gdLst>
              <a:gd name="connsiteX0" fmla="*/ 1714500 w 1714500"/>
              <a:gd name="connsiteY0" fmla="*/ 0 h 876300"/>
              <a:gd name="connsiteX1" fmla="*/ 1714500 w 1714500"/>
              <a:gd name="connsiteY1" fmla="*/ 323850 h 876300"/>
              <a:gd name="connsiteX2" fmla="*/ 676275 w 1714500"/>
              <a:gd name="connsiteY2" fmla="*/ 314325 h 876300"/>
              <a:gd name="connsiteX3" fmla="*/ 0 w 1714500"/>
              <a:gd name="connsiteY3" fmla="*/ 876300 h 876300"/>
              <a:gd name="connsiteX0" fmla="*/ 1714500 w 1714500"/>
              <a:gd name="connsiteY0" fmla="*/ 0 h 876300"/>
              <a:gd name="connsiteX1" fmla="*/ 1704975 w 1714500"/>
              <a:gd name="connsiteY1" fmla="*/ 295275 h 876300"/>
              <a:gd name="connsiteX2" fmla="*/ 676275 w 1714500"/>
              <a:gd name="connsiteY2" fmla="*/ 314325 h 876300"/>
              <a:gd name="connsiteX3" fmla="*/ 0 w 1714500"/>
              <a:gd name="connsiteY3" fmla="*/ 876300 h 876300"/>
              <a:gd name="connsiteX0" fmla="*/ 1704975 w 1704975"/>
              <a:gd name="connsiteY0" fmla="*/ 0 h 866775"/>
              <a:gd name="connsiteX1" fmla="*/ 1704975 w 1704975"/>
              <a:gd name="connsiteY1" fmla="*/ 285750 h 866775"/>
              <a:gd name="connsiteX2" fmla="*/ 676275 w 1704975"/>
              <a:gd name="connsiteY2" fmla="*/ 304800 h 866775"/>
              <a:gd name="connsiteX3" fmla="*/ 0 w 1704975"/>
              <a:gd name="connsiteY3" fmla="*/ 866775 h 866775"/>
              <a:gd name="connsiteX0" fmla="*/ 1704975 w 1704975"/>
              <a:gd name="connsiteY0" fmla="*/ 0 h 866775"/>
              <a:gd name="connsiteX1" fmla="*/ 1704975 w 1704975"/>
              <a:gd name="connsiteY1" fmla="*/ 285750 h 866775"/>
              <a:gd name="connsiteX2" fmla="*/ 676276 w 1704975"/>
              <a:gd name="connsiteY2" fmla="*/ 285750 h 866775"/>
              <a:gd name="connsiteX3" fmla="*/ 0 w 1704975"/>
              <a:gd name="connsiteY3" fmla="*/ 866775 h 866775"/>
              <a:gd name="connsiteX0" fmla="*/ 1704975 w 1704975"/>
              <a:gd name="connsiteY0" fmla="*/ 0 h 866775"/>
              <a:gd name="connsiteX1" fmla="*/ 1704975 w 1704975"/>
              <a:gd name="connsiteY1" fmla="*/ 285750 h 866775"/>
              <a:gd name="connsiteX2" fmla="*/ 676276 w 1704975"/>
              <a:gd name="connsiteY2" fmla="*/ 571500 h 866775"/>
              <a:gd name="connsiteX3" fmla="*/ 0 w 1704975"/>
              <a:gd name="connsiteY3" fmla="*/ 866775 h 866775"/>
              <a:gd name="connsiteX0" fmla="*/ 1704975 w 1704976"/>
              <a:gd name="connsiteY0" fmla="*/ 0 h 866775"/>
              <a:gd name="connsiteX1" fmla="*/ 1704976 w 1704976"/>
              <a:gd name="connsiteY1" fmla="*/ 571500 h 866775"/>
              <a:gd name="connsiteX2" fmla="*/ 676276 w 1704976"/>
              <a:gd name="connsiteY2" fmla="*/ 571500 h 866775"/>
              <a:gd name="connsiteX3" fmla="*/ 0 w 1704976"/>
              <a:gd name="connsiteY3" fmla="*/ 866775 h 866775"/>
              <a:gd name="connsiteX0" fmla="*/ 1704975 w 1704976"/>
              <a:gd name="connsiteY0" fmla="*/ 0 h 581025"/>
              <a:gd name="connsiteX1" fmla="*/ 1704976 w 1704976"/>
              <a:gd name="connsiteY1" fmla="*/ 285750 h 581025"/>
              <a:gd name="connsiteX2" fmla="*/ 676276 w 1704976"/>
              <a:gd name="connsiteY2" fmla="*/ 285750 h 581025"/>
              <a:gd name="connsiteX3" fmla="*/ 0 w 1704976"/>
              <a:gd name="connsiteY3" fmla="*/ 581025 h 581025"/>
              <a:gd name="connsiteX0" fmla="*/ 1704975 w 1704976"/>
              <a:gd name="connsiteY0" fmla="*/ 0 h 285750"/>
              <a:gd name="connsiteX1" fmla="*/ 1704976 w 1704976"/>
              <a:gd name="connsiteY1" fmla="*/ 285750 h 285750"/>
              <a:gd name="connsiteX2" fmla="*/ 676276 w 1704976"/>
              <a:gd name="connsiteY2" fmla="*/ 285750 h 285750"/>
              <a:gd name="connsiteX3" fmla="*/ 0 w 1704976"/>
              <a:gd name="connsiteY3" fmla="*/ 9525 h 2857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04976" h="285750">
                <a:moveTo>
                  <a:pt x="1704975" y="0"/>
                </a:moveTo>
                <a:cubicBezTo>
                  <a:pt x="1704975" y="190500"/>
                  <a:pt x="1704976" y="95250"/>
                  <a:pt x="1704976" y="285750"/>
                </a:cubicBezTo>
                <a:lnTo>
                  <a:pt x="676276" y="285750"/>
                </a:lnTo>
                <a:lnTo>
                  <a:pt x="0" y="9525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8" name="Rectangle 77">
            <a:extLst>
              <a:ext uri="{FF2B5EF4-FFF2-40B4-BE49-F238E27FC236}">
                <a16:creationId xmlns:a16="http://schemas.microsoft.com/office/drawing/2014/main" id="{00000000-0008-0000-0100-00004E000000}"/>
              </a:ext>
            </a:extLst>
          </xdr:cNvPr>
          <xdr:cNvSpPr/>
        </xdr:nvSpPr>
        <xdr:spPr>
          <a:xfrm>
            <a:off x="1809751" y="24325384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100-00004F000000}"/>
              </a:ext>
            </a:extLst>
          </xdr:cNvPr>
          <xdr:cNvSpPr/>
        </xdr:nvSpPr>
        <xdr:spPr>
          <a:xfrm rot="16200000">
            <a:off x="2350479" y="24104111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100-000050000000}"/>
              </a:ext>
            </a:extLst>
          </xdr:cNvPr>
          <xdr:cNvSpPr/>
        </xdr:nvSpPr>
        <xdr:spPr>
          <a:xfrm rot="1541271">
            <a:off x="1076978" y="24175999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446942</xdr:colOff>
      <xdr:row>32</xdr:row>
      <xdr:rowOff>129038</xdr:rowOff>
    </xdr:from>
    <xdr:to>
      <xdr:col>1</xdr:col>
      <xdr:colOff>1991459</xdr:colOff>
      <xdr:row>32</xdr:row>
      <xdr:rowOff>652096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GrpSpPr/>
      </xdr:nvGrpSpPr>
      <xdr:grpSpPr>
        <a:xfrm>
          <a:off x="1069242" y="26538688"/>
          <a:ext cx="1544517" cy="523058"/>
          <a:chOff x="1055077" y="24762153"/>
          <a:chExt cx="1544517" cy="523058"/>
        </a:xfrm>
      </xdr:grpSpPr>
      <xdr:sp macro="" textlink="">
        <xdr:nvSpPr>
          <xdr:cNvPr id="82" name="Freeform 81">
            <a:extLst>
              <a:ext uri="{FF2B5EF4-FFF2-40B4-BE49-F238E27FC236}">
                <a16:creationId xmlns:a16="http://schemas.microsoft.com/office/drawing/2014/main" id="{00000000-0008-0000-0100-000052000000}"/>
              </a:ext>
            </a:extLst>
          </xdr:cNvPr>
          <xdr:cNvSpPr/>
        </xdr:nvSpPr>
        <xdr:spPr>
          <a:xfrm>
            <a:off x="1055077" y="24795616"/>
            <a:ext cx="1348154" cy="489595"/>
          </a:xfrm>
          <a:custGeom>
            <a:avLst/>
            <a:gdLst>
              <a:gd name="connsiteX0" fmla="*/ 1714500 w 1714500"/>
              <a:gd name="connsiteY0" fmla="*/ 0 h 876300"/>
              <a:gd name="connsiteX1" fmla="*/ 1714500 w 1714500"/>
              <a:gd name="connsiteY1" fmla="*/ 323850 h 876300"/>
              <a:gd name="connsiteX2" fmla="*/ 676275 w 1714500"/>
              <a:gd name="connsiteY2" fmla="*/ 314325 h 876300"/>
              <a:gd name="connsiteX3" fmla="*/ 0 w 1714500"/>
              <a:gd name="connsiteY3" fmla="*/ 876300 h 876300"/>
              <a:gd name="connsiteX0" fmla="*/ 1714500 w 1714500"/>
              <a:gd name="connsiteY0" fmla="*/ 0 h 876300"/>
              <a:gd name="connsiteX1" fmla="*/ 1704975 w 1714500"/>
              <a:gd name="connsiteY1" fmla="*/ 295275 h 876300"/>
              <a:gd name="connsiteX2" fmla="*/ 676275 w 1714500"/>
              <a:gd name="connsiteY2" fmla="*/ 314325 h 876300"/>
              <a:gd name="connsiteX3" fmla="*/ 0 w 1714500"/>
              <a:gd name="connsiteY3" fmla="*/ 876300 h 876300"/>
              <a:gd name="connsiteX0" fmla="*/ 1704975 w 1704975"/>
              <a:gd name="connsiteY0" fmla="*/ 0 h 866775"/>
              <a:gd name="connsiteX1" fmla="*/ 1704975 w 1704975"/>
              <a:gd name="connsiteY1" fmla="*/ 285750 h 866775"/>
              <a:gd name="connsiteX2" fmla="*/ 676275 w 1704975"/>
              <a:gd name="connsiteY2" fmla="*/ 304800 h 866775"/>
              <a:gd name="connsiteX3" fmla="*/ 0 w 1704975"/>
              <a:gd name="connsiteY3" fmla="*/ 866775 h 866775"/>
              <a:gd name="connsiteX0" fmla="*/ 1704975 w 1704975"/>
              <a:gd name="connsiteY0" fmla="*/ 0 h 866775"/>
              <a:gd name="connsiteX1" fmla="*/ 1704975 w 1704975"/>
              <a:gd name="connsiteY1" fmla="*/ 285750 h 866775"/>
              <a:gd name="connsiteX2" fmla="*/ 676276 w 1704975"/>
              <a:gd name="connsiteY2" fmla="*/ 285750 h 866775"/>
              <a:gd name="connsiteX3" fmla="*/ 0 w 1704975"/>
              <a:gd name="connsiteY3" fmla="*/ 866775 h 866775"/>
              <a:gd name="connsiteX0" fmla="*/ 1704975 w 1704975"/>
              <a:gd name="connsiteY0" fmla="*/ 0 h 866775"/>
              <a:gd name="connsiteX1" fmla="*/ 1704975 w 1704975"/>
              <a:gd name="connsiteY1" fmla="*/ 285750 h 866775"/>
              <a:gd name="connsiteX2" fmla="*/ 676276 w 1704975"/>
              <a:gd name="connsiteY2" fmla="*/ 571500 h 866775"/>
              <a:gd name="connsiteX3" fmla="*/ 0 w 1704975"/>
              <a:gd name="connsiteY3" fmla="*/ 866775 h 866775"/>
              <a:gd name="connsiteX0" fmla="*/ 1704975 w 1704976"/>
              <a:gd name="connsiteY0" fmla="*/ 0 h 866775"/>
              <a:gd name="connsiteX1" fmla="*/ 1704976 w 1704976"/>
              <a:gd name="connsiteY1" fmla="*/ 571500 h 866775"/>
              <a:gd name="connsiteX2" fmla="*/ 676276 w 1704976"/>
              <a:gd name="connsiteY2" fmla="*/ 571500 h 866775"/>
              <a:gd name="connsiteX3" fmla="*/ 0 w 1704976"/>
              <a:gd name="connsiteY3" fmla="*/ 866775 h 866775"/>
              <a:gd name="connsiteX0" fmla="*/ 1704975 w 1704976"/>
              <a:gd name="connsiteY0" fmla="*/ 0 h 581025"/>
              <a:gd name="connsiteX1" fmla="*/ 1704976 w 1704976"/>
              <a:gd name="connsiteY1" fmla="*/ 285750 h 581025"/>
              <a:gd name="connsiteX2" fmla="*/ 676276 w 1704976"/>
              <a:gd name="connsiteY2" fmla="*/ 285750 h 581025"/>
              <a:gd name="connsiteX3" fmla="*/ 0 w 1704976"/>
              <a:gd name="connsiteY3" fmla="*/ 581025 h 5810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04976" h="581025">
                <a:moveTo>
                  <a:pt x="1704975" y="0"/>
                </a:moveTo>
                <a:cubicBezTo>
                  <a:pt x="1704975" y="190500"/>
                  <a:pt x="1704976" y="95250"/>
                  <a:pt x="1704976" y="285750"/>
                </a:cubicBezTo>
                <a:lnTo>
                  <a:pt x="676276" y="285750"/>
                </a:lnTo>
                <a:lnTo>
                  <a:pt x="0" y="581025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3" name="Rectangle 82">
            <a:extLst>
              <a:ext uri="{FF2B5EF4-FFF2-40B4-BE49-F238E27FC236}">
                <a16:creationId xmlns:a16="http://schemas.microsoft.com/office/drawing/2014/main" id="{00000000-0008-0000-0100-000053000000}"/>
              </a:ext>
            </a:extLst>
          </xdr:cNvPr>
          <xdr:cNvSpPr/>
        </xdr:nvSpPr>
        <xdr:spPr>
          <a:xfrm>
            <a:off x="1824404" y="25050750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84" name="Rectangle 83">
            <a:extLst>
              <a:ext uri="{FF2B5EF4-FFF2-40B4-BE49-F238E27FC236}">
                <a16:creationId xmlns:a16="http://schemas.microsoft.com/office/drawing/2014/main" id="{00000000-0008-0000-0100-000054000000}"/>
              </a:ext>
            </a:extLst>
          </xdr:cNvPr>
          <xdr:cNvSpPr/>
        </xdr:nvSpPr>
        <xdr:spPr>
          <a:xfrm rot="16200000">
            <a:off x="2350479" y="24866112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100-000055000000}"/>
              </a:ext>
            </a:extLst>
          </xdr:cNvPr>
          <xdr:cNvSpPr/>
        </xdr:nvSpPr>
        <xdr:spPr>
          <a:xfrm rot="20174975">
            <a:off x="1106285" y="24981960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294459</xdr:colOff>
      <xdr:row>33</xdr:row>
      <xdr:rowOff>211100</xdr:rowOff>
    </xdr:from>
    <xdr:to>
      <xdr:col>1</xdr:col>
      <xdr:colOff>1904999</xdr:colOff>
      <xdr:row>33</xdr:row>
      <xdr:rowOff>564173</xdr:rowOff>
    </xdr:to>
    <xdr:grpSp>
      <xdr:nvGrpSpPr>
        <xdr:cNvPr id="86" name="Group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GrpSpPr/>
      </xdr:nvGrpSpPr>
      <xdr:grpSpPr>
        <a:xfrm>
          <a:off x="916759" y="27458950"/>
          <a:ext cx="1610540" cy="353073"/>
          <a:chOff x="902594" y="25650176"/>
          <a:chExt cx="1610540" cy="353073"/>
        </a:xfrm>
      </xdr:grpSpPr>
      <xdr:sp macro="" textlink="">
        <xdr:nvSpPr>
          <xdr:cNvPr id="87" name="Freeform 86">
            <a:extLst>
              <a:ext uri="{FF2B5EF4-FFF2-40B4-BE49-F238E27FC236}">
                <a16:creationId xmlns:a16="http://schemas.microsoft.com/office/drawing/2014/main" id="{00000000-0008-0000-0100-000057000000}"/>
              </a:ext>
            </a:extLst>
          </xdr:cNvPr>
          <xdr:cNvSpPr/>
        </xdr:nvSpPr>
        <xdr:spPr>
          <a:xfrm>
            <a:off x="1078367" y="25690674"/>
            <a:ext cx="1434767" cy="312575"/>
          </a:xfrm>
          <a:custGeom>
            <a:avLst/>
            <a:gdLst>
              <a:gd name="connsiteX0" fmla="*/ 692728 w 2744932"/>
              <a:gd name="connsiteY0" fmla="*/ 0 h 1567295"/>
              <a:gd name="connsiteX1" fmla="*/ 342035 w 2744932"/>
              <a:gd name="connsiteY1" fmla="*/ 0 h 1567295"/>
              <a:gd name="connsiteX2" fmla="*/ 4330 w 2744932"/>
              <a:gd name="connsiteY2" fmla="*/ 281420 h 1567295"/>
              <a:gd name="connsiteX3" fmla="*/ 0 w 2744932"/>
              <a:gd name="connsiteY3" fmla="*/ 567170 h 1567295"/>
              <a:gd name="connsiteX4" fmla="*/ 342035 w 2744932"/>
              <a:gd name="connsiteY4" fmla="*/ 861579 h 1567295"/>
              <a:gd name="connsiteX5" fmla="*/ 2398569 w 2744932"/>
              <a:gd name="connsiteY5" fmla="*/ 857250 h 1567295"/>
              <a:gd name="connsiteX6" fmla="*/ 2744932 w 2744932"/>
              <a:gd name="connsiteY6" fmla="*/ 1151659 h 1567295"/>
              <a:gd name="connsiteX7" fmla="*/ 2744932 w 2744932"/>
              <a:gd name="connsiteY7" fmla="*/ 1420090 h 1567295"/>
              <a:gd name="connsiteX8" fmla="*/ 2489489 w 2744932"/>
              <a:gd name="connsiteY8" fmla="*/ 1567295 h 1567295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15 h 1420105"/>
              <a:gd name="connsiteX1" fmla="*/ 342347 w 2745244"/>
              <a:gd name="connsiteY1" fmla="*/ 15 h 1420105"/>
              <a:gd name="connsiteX2" fmla="*/ 4642 w 2745244"/>
              <a:gd name="connsiteY2" fmla="*/ 281435 h 1420105"/>
              <a:gd name="connsiteX3" fmla="*/ 312 w 2745244"/>
              <a:gd name="connsiteY3" fmla="*/ 567185 h 1420105"/>
              <a:gd name="connsiteX4" fmla="*/ 342347 w 2745244"/>
              <a:gd name="connsiteY4" fmla="*/ 861594 h 1420105"/>
              <a:gd name="connsiteX5" fmla="*/ 2398881 w 2745244"/>
              <a:gd name="connsiteY5" fmla="*/ 857265 h 1420105"/>
              <a:gd name="connsiteX6" fmla="*/ 2745244 w 2745244"/>
              <a:gd name="connsiteY6" fmla="*/ 1151674 h 1420105"/>
              <a:gd name="connsiteX7" fmla="*/ 2745244 w 2745244"/>
              <a:gd name="connsiteY7" fmla="*/ 1420105 h 1420105"/>
              <a:gd name="connsiteX0" fmla="*/ 693040 w 2745244"/>
              <a:gd name="connsiteY0" fmla="*/ 18 h 1420108"/>
              <a:gd name="connsiteX1" fmla="*/ 342347 w 2745244"/>
              <a:gd name="connsiteY1" fmla="*/ 18 h 1420108"/>
              <a:gd name="connsiteX2" fmla="*/ 4642 w 2745244"/>
              <a:gd name="connsiteY2" fmla="*/ 281438 h 1420108"/>
              <a:gd name="connsiteX3" fmla="*/ 312 w 2745244"/>
              <a:gd name="connsiteY3" fmla="*/ 567188 h 1420108"/>
              <a:gd name="connsiteX4" fmla="*/ 342347 w 2745244"/>
              <a:gd name="connsiteY4" fmla="*/ 861597 h 1420108"/>
              <a:gd name="connsiteX5" fmla="*/ 2398881 w 2745244"/>
              <a:gd name="connsiteY5" fmla="*/ 857268 h 1420108"/>
              <a:gd name="connsiteX6" fmla="*/ 2745244 w 2745244"/>
              <a:gd name="connsiteY6" fmla="*/ 1151677 h 1420108"/>
              <a:gd name="connsiteX7" fmla="*/ 2745244 w 2745244"/>
              <a:gd name="connsiteY7" fmla="*/ 1420108 h 1420108"/>
              <a:gd name="connsiteX0" fmla="*/ 693040 w 2745244"/>
              <a:gd name="connsiteY0" fmla="*/ 12474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39938 w 2745014"/>
              <a:gd name="connsiteY0" fmla="*/ 12473 h 1432564"/>
              <a:gd name="connsiteX1" fmla="*/ 230938 w 2745014"/>
              <a:gd name="connsiteY1" fmla="*/ 15 h 1432564"/>
              <a:gd name="connsiteX2" fmla="*/ 4412 w 2745014"/>
              <a:gd name="connsiteY2" fmla="*/ 293894 h 1432564"/>
              <a:gd name="connsiteX3" fmla="*/ 82 w 2745014"/>
              <a:gd name="connsiteY3" fmla="*/ 579644 h 1432564"/>
              <a:gd name="connsiteX4" fmla="*/ 342117 w 2745014"/>
              <a:gd name="connsiteY4" fmla="*/ 874053 h 1432564"/>
              <a:gd name="connsiteX5" fmla="*/ 2398651 w 2745014"/>
              <a:gd name="connsiteY5" fmla="*/ 869724 h 1432564"/>
              <a:gd name="connsiteX6" fmla="*/ 2745014 w 2745014"/>
              <a:gd name="connsiteY6" fmla="*/ 1164133 h 1432564"/>
              <a:gd name="connsiteX7" fmla="*/ 2745014 w 2745014"/>
              <a:gd name="connsiteY7" fmla="*/ 1432564 h 1432564"/>
              <a:gd name="connsiteX0" fmla="*/ 539938 w 2745014"/>
              <a:gd name="connsiteY0" fmla="*/ 12473 h 1488506"/>
              <a:gd name="connsiteX1" fmla="*/ 230938 w 2745014"/>
              <a:gd name="connsiteY1" fmla="*/ 15 h 1488506"/>
              <a:gd name="connsiteX2" fmla="*/ 4412 w 2745014"/>
              <a:gd name="connsiteY2" fmla="*/ 293894 h 1488506"/>
              <a:gd name="connsiteX3" fmla="*/ 82 w 2745014"/>
              <a:gd name="connsiteY3" fmla="*/ 579644 h 1488506"/>
              <a:gd name="connsiteX4" fmla="*/ 342117 w 2745014"/>
              <a:gd name="connsiteY4" fmla="*/ 874053 h 1488506"/>
              <a:gd name="connsiteX5" fmla="*/ 2398651 w 2745014"/>
              <a:gd name="connsiteY5" fmla="*/ 869724 h 1488506"/>
              <a:gd name="connsiteX6" fmla="*/ 2745014 w 2745014"/>
              <a:gd name="connsiteY6" fmla="*/ 1164133 h 1488506"/>
              <a:gd name="connsiteX7" fmla="*/ 2745014 w 2745014"/>
              <a:gd name="connsiteY7" fmla="*/ 1432564 h 1488506"/>
              <a:gd name="connsiteX0" fmla="*/ 539938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  <a:gd name="connsiteX0" fmla="*/ 671472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  <a:gd name="connsiteX0" fmla="*/ 671472 w 2745014"/>
              <a:gd name="connsiteY0" fmla="*/ 12473 h 1164132"/>
              <a:gd name="connsiteX1" fmla="*/ 230938 w 2745014"/>
              <a:gd name="connsiteY1" fmla="*/ 15 h 1164132"/>
              <a:gd name="connsiteX2" fmla="*/ 4412 w 2745014"/>
              <a:gd name="connsiteY2" fmla="*/ 293894 h 1164132"/>
              <a:gd name="connsiteX3" fmla="*/ 82 w 2745014"/>
              <a:gd name="connsiteY3" fmla="*/ 579644 h 1164132"/>
              <a:gd name="connsiteX4" fmla="*/ 342117 w 2745014"/>
              <a:gd name="connsiteY4" fmla="*/ 874053 h 1164132"/>
              <a:gd name="connsiteX5" fmla="*/ 2398651 w 2745014"/>
              <a:gd name="connsiteY5" fmla="*/ 869724 h 1164132"/>
              <a:gd name="connsiteX6" fmla="*/ 2745014 w 2745014"/>
              <a:gd name="connsiteY6" fmla="*/ 1164133 h 1164132"/>
              <a:gd name="connsiteX0" fmla="*/ 671472 w 2398650"/>
              <a:gd name="connsiteY0" fmla="*/ 12473 h 874052"/>
              <a:gd name="connsiteX1" fmla="*/ 230938 w 2398650"/>
              <a:gd name="connsiteY1" fmla="*/ 15 h 874052"/>
              <a:gd name="connsiteX2" fmla="*/ 4412 w 2398650"/>
              <a:gd name="connsiteY2" fmla="*/ 293894 h 874052"/>
              <a:gd name="connsiteX3" fmla="*/ 82 w 2398650"/>
              <a:gd name="connsiteY3" fmla="*/ 579644 h 874052"/>
              <a:gd name="connsiteX4" fmla="*/ 342117 w 2398650"/>
              <a:gd name="connsiteY4" fmla="*/ 874053 h 874052"/>
              <a:gd name="connsiteX5" fmla="*/ 2398651 w 2398650"/>
              <a:gd name="connsiteY5" fmla="*/ 869724 h 874052"/>
              <a:gd name="connsiteX0" fmla="*/ 671472 w 4500092"/>
              <a:gd name="connsiteY0" fmla="*/ 12473 h 874052"/>
              <a:gd name="connsiteX1" fmla="*/ 230938 w 4500092"/>
              <a:gd name="connsiteY1" fmla="*/ 15 h 874052"/>
              <a:gd name="connsiteX2" fmla="*/ 4412 w 4500092"/>
              <a:gd name="connsiteY2" fmla="*/ 293894 h 874052"/>
              <a:gd name="connsiteX3" fmla="*/ 82 w 4500092"/>
              <a:gd name="connsiteY3" fmla="*/ 579644 h 874052"/>
              <a:gd name="connsiteX4" fmla="*/ 342117 w 4500092"/>
              <a:gd name="connsiteY4" fmla="*/ 874053 h 874052"/>
              <a:gd name="connsiteX5" fmla="*/ 4500092 w 4500092"/>
              <a:gd name="connsiteY5" fmla="*/ 824156 h 874052"/>
              <a:gd name="connsiteX0" fmla="*/ 230938 w 4500092"/>
              <a:gd name="connsiteY0" fmla="*/ 15 h 874052"/>
              <a:gd name="connsiteX1" fmla="*/ 4412 w 4500092"/>
              <a:gd name="connsiteY1" fmla="*/ 293894 h 874052"/>
              <a:gd name="connsiteX2" fmla="*/ 82 w 4500092"/>
              <a:gd name="connsiteY2" fmla="*/ 579644 h 874052"/>
              <a:gd name="connsiteX3" fmla="*/ 342117 w 4500092"/>
              <a:gd name="connsiteY3" fmla="*/ 874053 h 874052"/>
              <a:gd name="connsiteX4" fmla="*/ 4500092 w 4500092"/>
              <a:gd name="connsiteY4" fmla="*/ 824156 h 874052"/>
              <a:gd name="connsiteX0" fmla="*/ 4412 w 4500092"/>
              <a:gd name="connsiteY0" fmla="*/ 1 h 580159"/>
              <a:gd name="connsiteX1" fmla="*/ 82 w 4500092"/>
              <a:gd name="connsiteY1" fmla="*/ 285751 h 580159"/>
              <a:gd name="connsiteX2" fmla="*/ 342117 w 4500092"/>
              <a:gd name="connsiteY2" fmla="*/ 580160 h 580159"/>
              <a:gd name="connsiteX3" fmla="*/ 4500092 w 4500092"/>
              <a:gd name="connsiteY3" fmla="*/ 530263 h 580159"/>
              <a:gd name="connsiteX0" fmla="*/ 406 w 4500501"/>
              <a:gd name="connsiteY0" fmla="*/ 0 h 874051"/>
              <a:gd name="connsiteX1" fmla="*/ 491 w 4500501"/>
              <a:gd name="connsiteY1" fmla="*/ 579643 h 874051"/>
              <a:gd name="connsiteX2" fmla="*/ 342526 w 4500501"/>
              <a:gd name="connsiteY2" fmla="*/ 874052 h 874051"/>
              <a:gd name="connsiteX3" fmla="*/ 4500501 w 4500501"/>
              <a:gd name="connsiteY3" fmla="*/ 824155 h 874051"/>
              <a:gd name="connsiteX0" fmla="*/ 406 w 4500501"/>
              <a:gd name="connsiteY0" fmla="*/ 0 h 901523"/>
              <a:gd name="connsiteX1" fmla="*/ 491 w 4500501"/>
              <a:gd name="connsiteY1" fmla="*/ 579643 h 901523"/>
              <a:gd name="connsiteX2" fmla="*/ 342526 w 4500501"/>
              <a:gd name="connsiteY2" fmla="*/ 874052 h 901523"/>
              <a:gd name="connsiteX3" fmla="*/ 4500501 w 4500501"/>
              <a:gd name="connsiteY3" fmla="*/ 901523 h 9015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4500501" h="901523">
                <a:moveTo>
                  <a:pt x="406" y="0"/>
                </a:moveTo>
                <a:cubicBezTo>
                  <a:pt x="-1037" y="95250"/>
                  <a:pt x="1934" y="484393"/>
                  <a:pt x="491" y="579643"/>
                </a:cubicBezTo>
                <a:cubicBezTo>
                  <a:pt x="-2395" y="799006"/>
                  <a:pt x="70245" y="846253"/>
                  <a:pt x="342526" y="874052"/>
                </a:cubicBezTo>
                <a:lnTo>
                  <a:pt x="4500501" y="901523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100-000058000000}"/>
              </a:ext>
            </a:extLst>
          </xdr:cNvPr>
          <xdr:cNvSpPr/>
        </xdr:nvSpPr>
        <xdr:spPr>
          <a:xfrm>
            <a:off x="1582615" y="25790769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89" name="Rectangle 88">
            <a:extLst>
              <a:ext uri="{FF2B5EF4-FFF2-40B4-BE49-F238E27FC236}">
                <a16:creationId xmlns:a16="http://schemas.microsoft.com/office/drawing/2014/main" id="{00000000-0008-0000-0100-000059000000}"/>
              </a:ext>
            </a:extLst>
          </xdr:cNvPr>
          <xdr:cNvSpPr/>
        </xdr:nvSpPr>
        <xdr:spPr>
          <a:xfrm rot="5400000">
            <a:off x="798635" y="25754135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238857</xdr:colOff>
      <xdr:row>34</xdr:row>
      <xdr:rowOff>218342</xdr:rowOff>
    </xdr:from>
    <xdr:to>
      <xdr:col>1</xdr:col>
      <xdr:colOff>2036799</xdr:colOff>
      <xdr:row>34</xdr:row>
      <xdr:rowOff>694675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GrpSpPr/>
      </xdr:nvGrpSpPr>
      <xdr:grpSpPr>
        <a:xfrm>
          <a:off x="861157" y="28304392"/>
          <a:ext cx="1797942" cy="476333"/>
          <a:chOff x="846992" y="26543977"/>
          <a:chExt cx="1797942" cy="476333"/>
        </a:xfrm>
      </xdr:grpSpPr>
      <xdr:sp macro="" textlink="">
        <xdr:nvSpPr>
          <xdr:cNvPr id="91" name="Freeform 90">
            <a:extLst>
              <a:ext uri="{FF2B5EF4-FFF2-40B4-BE49-F238E27FC236}">
                <a16:creationId xmlns:a16="http://schemas.microsoft.com/office/drawing/2014/main" id="{00000000-0008-0000-0100-00005B000000}"/>
              </a:ext>
            </a:extLst>
          </xdr:cNvPr>
          <xdr:cNvSpPr/>
        </xdr:nvSpPr>
        <xdr:spPr>
          <a:xfrm rot="10800000">
            <a:off x="937845" y="26574750"/>
            <a:ext cx="1619251" cy="285750"/>
          </a:xfrm>
          <a:custGeom>
            <a:avLst/>
            <a:gdLst>
              <a:gd name="connsiteX0" fmla="*/ 0 w 3105150"/>
              <a:gd name="connsiteY0" fmla="*/ 561975 h 571500"/>
              <a:gd name="connsiteX1" fmla="*/ 695325 w 3105150"/>
              <a:gd name="connsiteY1" fmla="*/ 9525 h 571500"/>
              <a:gd name="connsiteX2" fmla="*/ 2400300 w 3105150"/>
              <a:gd name="connsiteY2" fmla="*/ 0 h 571500"/>
              <a:gd name="connsiteX3" fmla="*/ 3105150 w 3105150"/>
              <a:gd name="connsiteY3" fmla="*/ 571500 h 571500"/>
              <a:gd name="connsiteX0" fmla="*/ 0 w 3105150"/>
              <a:gd name="connsiteY0" fmla="*/ 561975 h 571500"/>
              <a:gd name="connsiteX1" fmla="*/ 0 w 3105150"/>
              <a:gd name="connsiteY1" fmla="*/ 0 h 571500"/>
              <a:gd name="connsiteX2" fmla="*/ 2400300 w 3105150"/>
              <a:gd name="connsiteY2" fmla="*/ 0 h 571500"/>
              <a:gd name="connsiteX3" fmla="*/ 3105150 w 3105150"/>
              <a:gd name="connsiteY3" fmla="*/ 571500 h 571500"/>
              <a:gd name="connsiteX0" fmla="*/ 0 w 3105150"/>
              <a:gd name="connsiteY0" fmla="*/ 561975 h 571500"/>
              <a:gd name="connsiteX1" fmla="*/ 0 w 3105150"/>
              <a:gd name="connsiteY1" fmla="*/ 0 h 571500"/>
              <a:gd name="connsiteX2" fmla="*/ 3105150 w 3105150"/>
              <a:gd name="connsiteY2" fmla="*/ 0 h 571500"/>
              <a:gd name="connsiteX3" fmla="*/ 3105150 w 3105150"/>
              <a:gd name="connsiteY3" fmla="*/ 571500 h 571500"/>
              <a:gd name="connsiteX0" fmla="*/ 0 w 3105150"/>
              <a:gd name="connsiteY0" fmla="*/ 561975 h 571500"/>
              <a:gd name="connsiteX1" fmla="*/ 0 w 3105150"/>
              <a:gd name="connsiteY1" fmla="*/ 0 h 571500"/>
              <a:gd name="connsiteX2" fmla="*/ 3105150 w 3105150"/>
              <a:gd name="connsiteY2" fmla="*/ 0 h 571500"/>
              <a:gd name="connsiteX3" fmla="*/ 2484120 w 3105150"/>
              <a:gd name="connsiteY3" fmla="*/ 571500 h 571500"/>
              <a:gd name="connsiteX0" fmla="*/ 621030 w 3105150"/>
              <a:gd name="connsiteY0" fmla="*/ 571500 h 571500"/>
              <a:gd name="connsiteX1" fmla="*/ 0 w 3105150"/>
              <a:gd name="connsiteY1" fmla="*/ 0 h 571500"/>
              <a:gd name="connsiteX2" fmla="*/ 3105150 w 3105150"/>
              <a:gd name="connsiteY2" fmla="*/ 0 h 571500"/>
              <a:gd name="connsiteX3" fmla="*/ 2484120 w 3105150"/>
              <a:gd name="connsiteY3" fmla="*/ 571500 h 5715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3105150" h="571500">
                <a:moveTo>
                  <a:pt x="621030" y="571500"/>
                </a:moveTo>
                <a:lnTo>
                  <a:pt x="0" y="0"/>
                </a:lnTo>
                <a:lnTo>
                  <a:pt x="3105150" y="0"/>
                </a:lnTo>
                <a:lnTo>
                  <a:pt x="2484120" y="57150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2" name="Rectangle 91">
            <a:extLst>
              <a:ext uri="{FF2B5EF4-FFF2-40B4-BE49-F238E27FC236}">
                <a16:creationId xmlns:a16="http://schemas.microsoft.com/office/drawing/2014/main" id="{00000000-0008-0000-0100-00005C000000}"/>
              </a:ext>
            </a:extLst>
          </xdr:cNvPr>
          <xdr:cNvSpPr/>
        </xdr:nvSpPr>
        <xdr:spPr>
          <a:xfrm>
            <a:off x="1597269" y="26875154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93" name="Rectangle 92">
            <a:extLst>
              <a:ext uri="{FF2B5EF4-FFF2-40B4-BE49-F238E27FC236}">
                <a16:creationId xmlns:a16="http://schemas.microsoft.com/office/drawing/2014/main" id="{00000000-0008-0000-0100-00005D000000}"/>
              </a:ext>
            </a:extLst>
          </xdr:cNvPr>
          <xdr:cNvSpPr/>
        </xdr:nvSpPr>
        <xdr:spPr>
          <a:xfrm rot="2454651">
            <a:off x="2291861" y="26543977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100-00005E000000}"/>
              </a:ext>
            </a:extLst>
          </xdr:cNvPr>
          <xdr:cNvSpPr/>
        </xdr:nvSpPr>
        <xdr:spPr>
          <a:xfrm rot="19010401">
            <a:off x="846992" y="26557165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260837</xdr:colOff>
      <xdr:row>35</xdr:row>
      <xdr:rowOff>161193</xdr:rowOff>
    </xdr:from>
    <xdr:to>
      <xdr:col>1</xdr:col>
      <xdr:colOff>2066106</xdr:colOff>
      <xdr:row>35</xdr:row>
      <xdr:rowOff>637442</xdr:rowOff>
    </xdr:to>
    <xdr:grpSp>
      <xdr:nvGrpSpPr>
        <xdr:cNvPr id="95" name="Group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GrpSpPr/>
      </xdr:nvGrpSpPr>
      <xdr:grpSpPr>
        <a:xfrm>
          <a:off x="883137" y="29085443"/>
          <a:ext cx="1805269" cy="476249"/>
          <a:chOff x="868972" y="27322097"/>
          <a:chExt cx="1805269" cy="476249"/>
        </a:xfrm>
      </xdr:grpSpPr>
      <xdr:sp macro="" textlink="">
        <xdr:nvSpPr>
          <xdr:cNvPr id="96" name="Freeform 95">
            <a:extLst>
              <a:ext uri="{FF2B5EF4-FFF2-40B4-BE49-F238E27FC236}">
                <a16:creationId xmlns:a16="http://schemas.microsoft.com/office/drawing/2014/main" id="{00000000-0008-0000-0100-000060000000}"/>
              </a:ext>
            </a:extLst>
          </xdr:cNvPr>
          <xdr:cNvSpPr/>
        </xdr:nvSpPr>
        <xdr:spPr>
          <a:xfrm>
            <a:off x="886559" y="27512596"/>
            <a:ext cx="1729153" cy="285750"/>
          </a:xfrm>
          <a:custGeom>
            <a:avLst/>
            <a:gdLst>
              <a:gd name="connsiteX0" fmla="*/ 0 w 3105150"/>
              <a:gd name="connsiteY0" fmla="*/ 561975 h 571500"/>
              <a:gd name="connsiteX1" fmla="*/ 695325 w 3105150"/>
              <a:gd name="connsiteY1" fmla="*/ 9525 h 571500"/>
              <a:gd name="connsiteX2" fmla="*/ 2400300 w 3105150"/>
              <a:gd name="connsiteY2" fmla="*/ 0 h 571500"/>
              <a:gd name="connsiteX3" fmla="*/ 3105150 w 3105150"/>
              <a:gd name="connsiteY3" fmla="*/ 571500 h 5715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3105150" h="571500">
                <a:moveTo>
                  <a:pt x="0" y="561975"/>
                </a:moveTo>
                <a:lnTo>
                  <a:pt x="695325" y="9525"/>
                </a:lnTo>
                <a:lnTo>
                  <a:pt x="2400300" y="0"/>
                </a:lnTo>
                <a:lnTo>
                  <a:pt x="3105150" y="57150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100-000061000000}"/>
              </a:ext>
            </a:extLst>
          </xdr:cNvPr>
          <xdr:cNvSpPr/>
        </xdr:nvSpPr>
        <xdr:spPr>
          <a:xfrm>
            <a:off x="1604596" y="27322097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98" name="Rectangle 97">
            <a:extLst>
              <a:ext uri="{FF2B5EF4-FFF2-40B4-BE49-F238E27FC236}">
                <a16:creationId xmlns:a16="http://schemas.microsoft.com/office/drawing/2014/main" id="{00000000-0008-0000-0100-000062000000}"/>
              </a:ext>
            </a:extLst>
          </xdr:cNvPr>
          <xdr:cNvSpPr/>
        </xdr:nvSpPr>
        <xdr:spPr>
          <a:xfrm rot="2183006">
            <a:off x="2321168" y="27496477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99" name="Rectangle 98">
            <a:extLst>
              <a:ext uri="{FF2B5EF4-FFF2-40B4-BE49-F238E27FC236}">
                <a16:creationId xmlns:a16="http://schemas.microsoft.com/office/drawing/2014/main" id="{00000000-0008-0000-0100-000063000000}"/>
              </a:ext>
            </a:extLst>
          </xdr:cNvPr>
          <xdr:cNvSpPr/>
        </xdr:nvSpPr>
        <xdr:spPr>
          <a:xfrm rot="19612518">
            <a:off x="868972" y="27487685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373676</xdr:colOff>
      <xdr:row>39</xdr:row>
      <xdr:rowOff>114788</xdr:rowOff>
    </xdr:from>
    <xdr:to>
      <xdr:col>1</xdr:col>
      <xdr:colOff>2088174</xdr:colOff>
      <xdr:row>39</xdr:row>
      <xdr:rowOff>709328</xdr:rowOff>
    </xdr:to>
    <xdr:grpSp>
      <xdr:nvGrpSpPr>
        <xdr:cNvPr id="100" name="Group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GrpSpPr/>
      </xdr:nvGrpSpPr>
      <xdr:grpSpPr>
        <a:xfrm>
          <a:off x="995976" y="32391838"/>
          <a:ext cx="1714498" cy="594540"/>
          <a:chOff x="981811" y="32236019"/>
          <a:chExt cx="1714498" cy="594540"/>
        </a:xfrm>
      </xdr:grpSpPr>
      <xdr:sp macro="" textlink="">
        <xdr:nvSpPr>
          <xdr:cNvPr id="101" name="Freeform 100">
            <a:extLst>
              <a:ext uri="{FF2B5EF4-FFF2-40B4-BE49-F238E27FC236}">
                <a16:creationId xmlns:a16="http://schemas.microsoft.com/office/drawing/2014/main" id="{00000000-0008-0000-0100-000065000000}"/>
              </a:ext>
            </a:extLst>
          </xdr:cNvPr>
          <xdr:cNvSpPr/>
        </xdr:nvSpPr>
        <xdr:spPr>
          <a:xfrm>
            <a:off x="1172307" y="32236019"/>
            <a:ext cx="1267557" cy="592667"/>
          </a:xfrm>
          <a:custGeom>
            <a:avLst/>
            <a:gdLst>
              <a:gd name="connsiteX0" fmla="*/ 0 w 2079625"/>
              <a:gd name="connsiteY0" fmla="*/ 0 h 1725083"/>
              <a:gd name="connsiteX1" fmla="*/ 0 w 2079625"/>
              <a:gd name="connsiteY1" fmla="*/ 592666 h 1725083"/>
              <a:gd name="connsiteX2" fmla="*/ 359834 w 2079625"/>
              <a:gd name="connsiteY2" fmla="*/ 873125 h 1725083"/>
              <a:gd name="connsiteX3" fmla="*/ 1740959 w 2079625"/>
              <a:gd name="connsiteY3" fmla="*/ 873125 h 1725083"/>
              <a:gd name="connsiteX4" fmla="*/ 2079625 w 2079625"/>
              <a:gd name="connsiteY4" fmla="*/ 1153583 h 1725083"/>
              <a:gd name="connsiteX5" fmla="*/ 2079625 w 2079625"/>
              <a:gd name="connsiteY5" fmla="*/ 1725083 h 1725083"/>
              <a:gd name="connsiteX0" fmla="*/ 0 w 2079625"/>
              <a:gd name="connsiteY0" fmla="*/ 0 h 1725083"/>
              <a:gd name="connsiteX1" fmla="*/ 0 w 2079625"/>
              <a:gd name="connsiteY1" fmla="*/ 592666 h 1725083"/>
              <a:gd name="connsiteX2" fmla="*/ 359834 w 2079625"/>
              <a:gd name="connsiteY2" fmla="*/ 873125 h 1725083"/>
              <a:gd name="connsiteX3" fmla="*/ 1740959 w 2079625"/>
              <a:gd name="connsiteY3" fmla="*/ 873125 h 1725083"/>
              <a:gd name="connsiteX4" fmla="*/ 2079625 w 2079625"/>
              <a:gd name="connsiteY4" fmla="*/ 1153583 h 1725083"/>
              <a:gd name="connsiteX5" fmla="*/ 2079625 w 2079625"/>
              <a:gd name="connsiteY5" fmla="*/ 1725083 h 1725083"/>
              <a:gd name="connsiteX0" fmla="*/ 0 w 2079625"/>
              <a:gd name="connsiteY0" fmla="*/ 0 h 1725083"/>
              <a:gd name="connsiteX1" fmla="*/ 0 w 2079625"/>
              <a:gd name="connsiteY1" fmla="*/ 592666 h 1725083"/>
              <a:gd name="connsiteX2" fmla="*/ 359834 w 2079625"/>
              <a:gd name="connsiteY2" fmla="*/ 873125 h 1725083"/>
              <a:gd name="connsiteX3" fmla="*/ 1740959 w 2079625"/>
              <a:gd name="connsiteY3" fmla="*/ 873125 h 1725083"/>
              <a:gd name="connsiteX4" fmla="*/ 2079625 w 2079625"/>
              <a:gd name="connsiteY4" fmla="*/ 1153583 h 1725083"/>
              <a:gd name="connsiteX5" fmla="*/ 2079625 w 2079625"/>
              <a:gd name="connsiteY5" fmla="*/ 1725083 h 1725083"/>
              <a:gd name="connsiteX0" fmla="*/ 0 w 2079625"/>
              <a:gd name="connsiteY0" fmla="*/ 0 h 1725083"/>
              <a:gd name="connsiteX1" fmla="*/ 0 w 2079625"/>
              <a:gd name="connsiteY1" fmla="*/ 592666 h 1725083"/>
              <a:gd name="connsiteX2" fmla="*/ 359834 w 2079625"/>
              <a:gd name="connsiteY2" fmla="*/ 873125 h 1725083"/>
              <a:gd name="connsiteX3" fmla="*/ 1740959 w 2079625"/>
              <a:gd name="connsiteY3" fmla="*/ 873125 h 1725083"/>
              <a:gd name="connsiteX4" fmla="*/ 2079625 w 2079625"/>
              <a:gd name="connsiteY4" fmla="*/ 1153583 h 1725083"/>
              <a:gd name="connsiteX5" fmla="*/ 2079625 w 2079625"/>
              <a:gd name="connsiteY5" fmla="*/ 1725083 h 1725083"/>
              <a:gd name="connsiteX0" fmla="*/ 0 w 2079625"/>
              <a:gd name="connsiteY0" fmla="*/ 0 h 1725083"/>
              <a:gd name="connsiteX1" fmla="*/ 0 w 2079625"/>
              <a:gd name="connsiteY1" fmla="*/ 592666 h 1725083"/>
              <a:gd name="connsiteX2" fmla="*/ 359834 w 2079625"/>
              <a:gd name="connsiteY2" fmla="*/ 873125 h 1725083"/>
              <a:gd name="connsiteX3" fmla="*/ 1740959 w 2079625"/>
              <a:gd name="connsiteY3" fmla="*/ 873125 h 1725083"/>
              <a:gd name="connsiteX4" fmla="*/ 2079625 w 2079625"/>
              <a:gd name="connsiteY4" fmla="*/ 1153583 h 1725083"/>
              <a:gd name="connsiteX5" fmla="*/ 2079625 w 2079625"/>
              <a:gd name="connsiteY5" fmla="*/ 1725083 h 172508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2079625" h="1725083">
                <a:moveTo>
                  <a:pt x="0" y="0"/>
                </a:moveTo>
                <a:lnTo>
                  <a:pt x="0" y="592666"/>
                </a:lnTo>
                <a:cubicBezTo>
                  <a:pt x="8820" y="786693"/>
                  <a:pt x="28222" y="864306"/>
                  <a:pt x="359834" y="873125"/>
                </a:cubicBezTo>
                <a:lnTo>
                  <a:pt x="1740959" y="873125"/>
                </a:lnTo>
                <a:cubicBezTo>
                  <a:pt x="2065514" y="871361"/>
                  <a:pt x="2072569" y="943681"/>
                  <a:pt x="2079625" y="1153583"/>
                </a:cubicBezTo>
                <a:lnTo>
                  <a:pt x="2079625" y="1725083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2" name="Rectangle 101">
            <a:extLst>
              <a:ext uri="{FF2B5EF4-FFF2-40B4-BE49-F238E27FC236}">
                <a16:creationId xmlns:a16="http://schemas.microsoft.com/office/drawing/2014/main" id="{00000000-0008-0000-0100-000066000000}"/>
              </a:ext>
            </a:extLst>
          </xdr:cNvPr>
          <xdr:cNvSpPr/>
        </xdr:nvSpPr>
        <xdr:spPr>
          <a:xfrm rot="16200000">
            <a:off x="952504" y="32297076"/>
            <a:ext cx="249116" cy="19050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100-000067000000}"/>
              </a:ext>
            </a:extLst>
          </xdr:cNvPr>
          <xdr:cNvSpPr/>
        </xdr:nvSpPr>
        <xdr:spPr>
          <a:xfrm rot="16200000">
            <a:off x="2436897" y="32571148"/>
            <a:ext cx="299021" cy="21980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04" name="Rectangle 103">
            <a:extLst>
              <a:ext uri="{FF2B5EF4-FFF2-40B4-BE49-F238E27FC236}">
                <a16:creationId xmlns:a16="http://schemas.microsoft.com/office/drawing/2014/main" id="{00000000-0008-0000-0100-000068000000}"/>
              </a:ext>
            </a:extLst>
          </xdr:cNvPr>
          <xdr:cNvSpPr/>
        </xdr:nvSpPr>
        <xdr:spPr>
          <a:xfrm>
            <a:off x="1696879" y="32344014"/>
            <a:ext cx="269713" cy="19049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418041</xdr:colOff>
      <xdr:row>40</xdr:row>
      <xdr:rowOff>131193</xdr:rowOff>
    </xdr:from>
    <xdr:to>
      <xdr:col>1</xdr:col>
      <xdr:colOff>1978273</xdr:colOff>
      <xdr:row>40</xdr:row>
      <xdr:rowOff>642695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GrpSpPr/>
      </xdr:nvGrpSpPr>
      <xdr:grpSpPr>
        <a:xfrm>
          <a:off x="1040341" y="33246443"/>
          <a:ext cx="1560232" cy="511502"/>
          <a:chOff x="1048156" y="33095020"/>
          <a:chExt cx="1560232" cy="511502"/>
        </a:xfrm>
      </xdr:grpSpPr>
      <xdr:sp macro="" textlink="">
        <xdr:nvSpPr>
          <xdr:cNvPr id="106" name="Freeform 105">
            <a:extLst>
              <a:ext uri="{FF2B5EF4-FFF2-40B4-BE49-F238E27FC236}">
                <a16:creationId xmlns:a16="http://schemas.microsoft.com/office/drawing/2014/main" id="{00000000-0008-0000-0100-00006A000000}"/>
              </a:ext>
            </a:extLst>
          </xdr:cNvPr>
          <xdr:cNvSpPr/>
        </xdr:nvSpPr>
        <xdr:spPr>
          <a:xfrm>
            <a:off x="1048156" y="33280920"/>
            <a:ext cx="1340421" cy="291041"/>
          </a:xfrm>
          <a:custGeom>
            <a:avLst/>
            <a:gdLst>
              <a:gd name="connsiteX0" fmla="*/ 2407708 w 2407708"/>
              <a:gd name="connsiteY0" fmla="*/ 576792 h 582084"/>
              <a:gd name="connsiteX1" fmla="*/ 2407708 w 2407708"/>
              <a:gd name="connsiteY1" fmla="*/ 296334 h 582084"/>
              <a:gd name="connsiteX2" fmla="*/ 2074333 w 2407708"/>
              <a:gd name="connsiteY2" fmla="*/ 0 h 582084"/>
              <a:gd name="connsiteX3" fmla="*/ 1042458 w 2407708"/>
              <a:gd name="connsiteY3" fmla="*/ 5292 h 582084"/>
              <a:gd name="connsiteX4" fmla="*/ 0 w 2407708"/>
              <a:gd name="connsiteY4" fmla="*/ 582084 h 582084"/>
              <a:gd name="connsiteX0" fmla="*/ 2407708 w 2407708"/>
              <a:gd name="connsiteY0" fmla="*/ 576792 h 582084"/>
              <a:gd name="connsiteX1" fmla="*/ 2407708 w 2407708"/>
              <a:gd name="connsiteY1" fmla="*/ 296334 h 582084"/>
              <a:gd name="connsiteX2" fmla="*/ 2074333 w 2407708"/>
              <a:gd name="connsiteY2" fmla="*/ 0 h 582084"/>
              <a:gd name="connsiteX3" fmla="*/ 1042458 w 2407708"/>
              <a:gd name="connsiteY3" fmla="*/ 5292 h 582084"/>
              <a:gd name="connsiteX4" fmla="*/ 0 w 2407708"/>
              <a:gd name="connsiteY4" fmla="*/ 582084 h 582084"/>
              <a:gd name="connsiteX0" fmla="*/ 2407708 w 2407708"/>
              <a:gd name="connsiteY0" fmla="*/ 576792 h 582084"/>
              <a:gd name="connsiteX1" fmla="*/ 2407708 w 2407708"/>
              <a:gd name="connsiteY1" fmla="*/ 296334 h 582084"/>
              <a:gd name="connsiteX2" fmla="*/ 2074333 w 2407708"/>
              <a:gd name="connsiteY2" fmla="*/ 0 h 582084"/>
              <a:gd name="connsiteX3" fmla="*/ 1042458 w 2407708"/>
              <a:gd name="connsiteY3" fmla="*/ 5292 h 582084"/>
              <a:gd name="connsiteX4" fmla="*/ 0 w 2407708"/>
              <a:gd name="connsiteY4" fmla="*/ 582084 h 582084"/>
              <a:gd name="connsiteX0" fmla="*/ 2407708 w 2407708"/>
              <a:gd name="connsiteY0" fmla="*/ 576792 h 582084"/>
              <a:gd name="connsiteX1" fmla="*/ 2407708 w 2407708"/>
              <a:gd name="connsiteY1" fmla="*/ 296334 h 582084"/>
              <a:gd name="connsiteX2" fmla="*/ 2074333 w 2407708"/>
              <a:gd name="connsiteY2" fmla="*/ 0 h 582084"/>
              <a:gd name="connsiteX3" fmla="*/ 1042458 w 2407708"/>
              <a:gd name="connsiteY3" fmla="*/ 5292 h 582084"/>
              <a:gd name="connsiteX4" fmla="*/ 0 w 2407708"/>
              <a:gd name="connsiteY4" fmla="*/ 582084 h 582084"/>
              <a:gd name="connsiteX0" fmla="*/ 2407708 w 2407708"/>
              <a:gd name="connsiteY0" fmla="*/ 576792 h 582084"/>
              <a:gd name="connsiteX1" fmla="*/ 2407708 w 2407708"/>
              <a:gd name="connsiteY1" fmla="*/ 296334 h 582084"/>
              <a:gd name="connsiteX2" fmla="*/ 2074333 w 2407708"/>
              <a:gd name="connsiteY2" fmla="*/ 0 h 582084"/>
              <a:gd name="connsiteX3" fmla="*/ 1153926 w 2407708"/>
              <a:gd name="connsiteY3" fmla="*/ 5292 h 582084"/>
              <a:gd name="connsiteX4" fmla="*/ 0 w 2407708"/>
              <a:gd name="connsiteY4" fmla="*/ 582084 h 582084"/>
              <a:gd name="connsiteX0" fmla="*/ 2407708 w 2407708"/>
              <a:gd name="connsiteY0" fmla="*/ 576792 h 582084"/>
              <a:gd name="connsiteX1" fmla="*/ 2407708 w 2407708"/>
              <a:gd name="connsiteY1" fmla="*/ 296334 h 582084"/>
              <a:gd name="connsiteX2" fmla="*/ 2074333 w 2407708"/>
              <a:gd name="connsiteY2" fmla="*/ 0 h 582084"/>
              <a:gd name="connsiteX3" fmla="*/ 1153926 w 2407708"/>
              <a:gd name="connsiteY3" fmla="*/ 5292 h 582084"/>
              <a:gd name="connsiteX4" fmla="*/ 1010643 w 2407708"/>
              <a:gd name="connsiteY4" fmla="*/ 58209 h 582084"/>
              <a:gd name="connsiteX5" fmla="*/ 0 w 2407708"/>
              <a:gd name="connsiteY5" fmla="*/ 582084 h 582084"/>
              <a:gd name="connsiteX0" fmla="*/ 2407708 w 2407708"/>
              <a:gd name="connsiteY0" fmla="*/ 587375 h 592667"/>
              <a:gd name="connsiteX1" fmla="*/ 2407708 w 2407708"/>
              <a:gd name="connsiteY1" fmla="*/ 306917 h 592667"/>
              <a:gd name="connsiteX2" fmla="*/ 2074333 w 2407708"/>
              <a:gd name="connsiteY2" fmla="*/ 10583 h 592667"/>
              <a:gd name="connsiteX3" fmla="*/ 1295119 w 2407708"/>
              <a:gd name="connsiteY3" fmla="*/ 0 h 592667"/>
              <a:gd name="connsiteX4" fmla="*/ 1010643 w 2407708"/>
              <a:gd name="connsiteY4" fmla="*/ 68792 h 592667"/>
              <a:gd name="connsiteX5" fmla="*/ 0 w 2407708"/>
              <a:gd name="connsiteY5" fmla="*/ 592667 h 592667"/>
              <a:gd name="connsiteX0" fmla="*/ 2407708 w 2407708"/>
              <a:gd name="connsiteY0" fmla="*/ 587375 h 592667"/>
              <a:gd name="connsiteX1" fmla="*/ 2407708 w 2407708"/>
              <a:gd name="connsiteY1" fmla="*/ 306917 h 592667"/>
              <a:gd name="connsiteX2" fmla="*/ 2074333 w 2407708"/>
              <a:gd name="connsiteY2" fmla="*/ 10583 h 592667"/>
              <a:gd name="connsiteX3" fmla="*/ 1295119 w 2407708"/>
              <a:gd name="connsiteY3" fmla="*/ 0 h 592667"/>
              <a:gd name="connsiteX4" fmla="*/ 973486 w 2407708"/>
              <a:gd name="connsiteY4" fmla="*/ 89958 h 592667"/>
              <a:gd name="connsiteX5" fmla="*/ 0 w 2407708"/>
              <a:gd name="connsiteY5" fmla="*/ 592667 h 592667"/>
              <a:gd name="connsiteX0" fmla="*/ 2407708 w 2407708"/>
              <a:gd name="connsiteY0" fmla="*/ 587375 h 592667"/>
              <a:gd name="connsiteX1" fmla="*/ 2407708 w 2407708"/>
              <a:gd name="connsiteY1" fmla="*/ 306917 h 592667"/>
              <a:gd name="connsiteX2" fmla="*/ 2074333 w 2407708"/>
              <a:gd name="connsiteY2" fmla="*/ 10583 h 592667"/>
              <a:gd name="connsiteX3" fmla="*/ 1295119 w 2407708"/>
              <a:gd name="connsiteY3" fmla="*/ 0 h 592667"/>
              <a:gd name="connsiteX4" fmla="*/ 973486 w 2407708"/>
              <a:gd name="connsiteY4" fmla="*/ 89958 h 592667"/>
              <a:gd name="connsiteX5" fmla="*/ 0 w 2407708"/>
              <a:gd name="connsiteY5" fmla="*/ 592667 h 592667"/>
              <a:gd name="connsiteX0" fmla="*/ 2407708 w 2407708"/>
              <a:gd name="connsiteY0" fmla="*/ 592703 h 597995"/>
              <a:gd name="connsiteX1" fmla="*/ 2407708 w 2407708"/>
              <a:gd name="connsiteY1" fmla="*/ 312245 h 597995"/>
              <a:gd name="connsiteX2" fmla="*/ 2074333 w 2407708"/>
              <a:gd name="connsiteY2" fmla="*/ 15911 h 597995"/>
              <a:gd name="connsiteX3" fmla="*/ 1295119 w 2407708"/>
              <a:gd name="connsiteY3" fmla="*/ 5328 h 597995"/>
              <a:gd name="connsiteX4" fmla="*/ 973486 w 2407708"/>
              <a:gd name="connsiteY4" fmla="*/ 95286 h 597995"/>
              <a:gd name="connsiteX5" fmla="*/ 0 w 2407708"/>
              <a:gd name="connsiteY5" fmla="*/ 597995 h 597995"/>
              <a:gd name="connsiteX0" fmla="*/ 2407708 w 2407708"/>
              <a:gd name="connsiteY0" fmla="*/ 587375 h 592667"/>
              <a:gd name="connsiteX1" fmla="*/ 2407708 w 2407708"/>
              <a:gd name="connsiteY1" fmla="*/ 306917 h 592667"/>
              <a:gd name="connsiteX2" fmla="*/ 2074333 w 2407708"/>
              <a:gd name="connsiteY2" fmla="*/ 10583 h 592667"/>
              <a:gd name="connsiteX3" fmla="*/ 1295119 w 2407708"/>
              <a:gd name="connsiteY3" fmla="*/ 0 h 592667"/>
              <a:gd name="connsiteX4" fmla="*/ 854588 w 2407708"/>
              <a:gd name="connsiteY4" fmla="*/ 153458 h 592667"/>
              <a:gd name="connsiteX5" fmla="*/ 0 w 2407708"/>
              <a:gd name="connsiteY5" fmla="*/ 592667 h 59266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2407708" h="592667">
                <a:moveTo>
                  <a:pt x="2407708" y="587375"/>
                </a:moveTo>
                <a:lnTo>
                  <a:pt x="2407708" y="306917"/>
                </a:lnTo>
                <a:cubicBezTo>
                  <a:pt x="2407708" y="28223"/>
                  <a:pt x="2407708" y="14111"/>
                  <a:pt x="2074333" y="10583"/>
                </a:cubicBezTo>
                <a:lnTo>
                  <a:pt x="1295119" y="0"/>
                </a:lnTo>
                <a:cubicBezTo>
                  <a:pt x="1121027" y="8819"/>
                  <a:pt x="1140147" y="12347"/>
                  <a:pt x="854588" y="153458"/>
                </a:cubicBezTo>
                <a:lnTo>
                  <a:pt x="0" y="592667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`</a:t>
            </a:r>
          </a:p>
        </xdr:txBody>
      </xdr:sp>
      <xdr:sp macro="" textlink="">
        <xdr:nvSpPr>
          <xdr:cNvPr id="107" name="Rectangle 106">
            <a:extLst>
              <a:ext uri="{FF2B5EF4-FFF2-40B4-BE49-F238E27FC236}">
                <a16:creationId xmlns:a16="http://schemas.microsoft.com/office/drawing/2014/main" id="{00000000-0008-0000-0100-00006B000000}"/>
              </a:ext>
            </a:extLst>
          </xdr:cNvPr>
          <xdr:cNvSpPr/>
        </xdr:nvSpPr>
        <xdr:spPr>
          <a:xfrm rot="20230688">
            <a:off x="1143003" y="33264230"/>
            <a:ext cx="256443" cy="19782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08" name="Rectangle 107">
            <a:extLst>
              <a:ext uri="{FF2B5EF4-FFF2-40B4-BE49-F238E27FC236}">
                <a16:creationId xmlns:a16="http://schemas.microsoft.com/office/drawing/2014/main" id="{00000000-0008-0000-0100-00006C000000}"/>
              </a:ext>
            </a:extLst>
          </xdr:cNvPr>
          <xdr:cNvSpPr/>
        </xdr:nvSpPr>
        <xdr:spPr>
          <a:xfrm>
            <a:off x="1861735" y="33095020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100-00006D000000}"/>
              </a:ext>
            </a:extLst>
          </xdr:cNvPr>
          <xdr:cNvSpPr/>
        </xdr:nvSpPr>
        <xdr:spPr>
          <a:xfrm rot="5400000">
            <a:off x="2338678" y="33336811"/>
            <a:ext cx="305656" cy="23376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359021</xdr:colOff>
      <xdr:row>41</xdr:row>
      <xdr:rowOff>51288</xdr:rowOff>
    </xdr:from>
    <xdr:to>
      <xdr:col>1</xdr:col>
      <xdr:colOff>1969477</xdr:colOff>
      <xdr:row>41</xdr:row>
      <xdr:rowOff>767859</xdr:rowOff>
    </xdr:to>
    <xdr:grpSp>
      <xdr:nvGrpSpPr>
        <xdr:cNvPr id="110" name="Group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GrpSpPr/>
      </xdr:nvGrpSpPr>
      <xdr:grpSpPr>
        <a:xfrm>
          <a:off x="981321" y="34004738"/>
          <a:ext cx="1610456" cy="716571"/>
          <a:chOff x="967156" y="33894346"/>
          <a:chExt cx="1610456" cy="716571"/>
        </a:xfrm>
      </xdr:grpSpPr>
      <xdr:sp macro="" textlink="">
        <xdr:nvSpPr>
          <xdr:cNvPr id="111" name="Freeform 110">
            <a:extLst>
              <a:ext uri="{FF2B5EF4-FFF2-40B4-BE49-F238E27FC236}">
                <a16:creationId xmlns:a16="http://schemas.microsoft.com/office/drawing/2014/main" id="{00000000-0008-0000-0100-00006F000000}"/>
              </a:ext>
            </a:extLst>
          </xdr:cNvPr>
          <xdr:cNvSpPr/>
        </xdr:nvSpPr>
        <xdr:spPr>
          <a:xfrm>
            <a:off x="1148993" y="34078840"/>
            <a:ext cx="1210275" cy="491563"/>
          </a:xfrm>
          <a:custGeom>
            <a:avLst/>
            <a:gdLst>
              <a:gd name="connsiteX0" fmla="*/ 692728 w 2744932"/>
              <a:gd name="connsiteY0" fmla="*/ 0 h 1567295"/>
              <a:gd name="connsiteX1" fmla="*/ 342035 w 2744932"/>
              <a:gd name="connsiteY1" fmla="*/ 0 h 1567295"/>
              <a:gd name="connsiteX2" fmla="*/ 4330 w 2744932"/>
              <a:gd name="connsiteY2" fmla="*/ 281420 h 1567295"/>
              <a:gd name="connsiteX3" fmla="*/ 0 w 2744932"/>
              <a:gd name="connsiteY3" fmla="*/ 567170 h 1567295"/>
              <a:gd name="connsiteX4" fmla="*/ 342035 w 2744932"/>
              <a:gd name="connsiteY4" fmla="*/ 861579 h 1567295"/>
              <a:gd name="connsiteX5" fmla="*/ 2398569 w 2744932"/>
              <a:gd name="connsiteY5" fmla="*/ 857250 h 1567295"/>
              <a:gd name="connsiteX6" fmla="*/ 2744932 w 2744932"/>
              <a:gd name="connsiteY6" fmla="*/ 1151659 h 1567295"/>
              <a:gd name="connsiteX7" fmla="*/ 2744932 w 2744932"/>
              <a:gd name="connsiteY7" fmla="*/ 1420090 h 1567295"/>
              <a:gd name="connsiteX8" fmla="*/ 2489489 w 2744932"/>
              <a:gd name="connsiteY8" fmla="*/ 1567295 h 1567295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15 h 1420105"/>
              <a:gd name="connsiteX1" fmla="*/ 342347 w 2745244"/>
              <a:gd name="connsiteY1" fmla="*/ 15 h 1420105"/>
              <a:gd name="connsiteX2" fmla="*/ 4642 w 2745244"/>
              <a:gd name="connsiteY2" fmla="*/ 281435 h 1420105"/>
              <a:gd name="connsiteX3" fmla="*/ 312 w 2745244"/>
              <a:gd name="connsiteY3" fmla="*/ 567185 h 1420105"/>
              <a:gd name="connsiteX4" fmla="*/ 342347 w 2745244"/>
              <a:gd name="connsiteY4" fmla="*/ 861594 h 1420105"/>
              <a:gd name="connsiteX5" fmla="*/ 2398881 w 2745244"/>
              <a:gd name="connsiteY5" fmla="*/ 857265 h 1420105"/>
              <a:gd name="connsiteX6" fmla="*/ 2745244 w 2745244"/>
              <a:gd name="connsiteY6" fmla="*/ 1151674 h 1420105"/>
              <a:gd name="connsiteX7" fmla="*/ 2745244 w 2745244"/>
              <a:gd name="connsiteY7" fmla="*/ 1420105 h 1420105"/>
              <a:gd name="connsiteX0" fmla="*/ 693040 w 2745244"/>
              <a:gd name="connsiteY0" fmla="*/ 18 h 1420108"/>
              <a:gd name="connsiteX1" fmla="*/ 342347 w 2745244"/>
              <a:gd name="connsiteY1" fmla="*/ 18 h 1420108"/>
              <a:gd name="connsiteX2" fmla="*/ 4642 w 2745244"/>
              <a:gd name="connsiteY2" fmla="*/ 281438 h 1420108"/>
              <a:gd name="connsiteX3" fmla="*/ 312 w 2745244"/>
              <a:gd name="connsiteY3" fmla="*/ 567188 h 1420108"/>
              <a:gd name="connsiteX4" fmla="*/ 342347 w 2745244"/>
              <a:gd name="connsiteY4" fmla="*/ 861597 h 1420108"/>
              <a:gd name="connsiteX5" fmla="*/ 2398881 w 2745244"/>
              <a:gd name="connsiteY5" fmla="*/ 857268 h 1420108"/>
              <a:gd name="connsiteX6" fmla="*/ 2745244 w 2745244"/>
              <a:gd name="connsiteY6" fmla="*/ 1151677 h 1420108"/>
              <a:gd name="connsiteX7" fmla="*/ 2745244 w 2745244"/>
              <a:gd name="connsiteY7" fmla="*/ 1420108 h 1420108"/>
              <a:gd name="connsiteX0" fmla="*/ 693040 w 2745244"/>
              <a:gd name="connsiteY0" fmla="*/ 12474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39938 w 2745014"/>
              <a:gd name="connsiteY0" fmla="*/ 12473 h 1432564"/>
              <a:gd name="connsiteX1" fmla="*/ 230938 w 2745014"/>
              <a:gd name="connsiteY1" fmla="*/ 15 h 1432564"/>
              <a:gd name="connsiteX2" fmla="*/ 4412 w 2745014"/>
              <a:gd name="connsiteY2" fmla="*/ 293894 h 1432564"/>
              <a:gd name="connsiteX3" fmla="*/ 82 w 2745014"/>
              <a:gd name="connsiteY3" fmla="*/ 579644 h 1432564"/>
              <a:gd name="connsiteX4" fmla="*/ 342117 w 2745014"/>
              <a:gd name="connsiteY4" fmla="*/ 874053 h 1432564"/>
              <a:gd name="connsiteX5" fmla="*/ 2398651 w 2745014"/>
              <a:gd name="connsiteY5" fmla="*/ 869724 h 1432564"/>
              <a:gd name="connsiteX6" fmla="*/ 2745014 w 2745014"/>
              <a:gd name="connsiteY6" fmla="*/ 1164133 h 1432564"/>
              <a:gd name="connsiteX7" fmla="*/ 2745014 w 2745014"/>
              <a:gd name="connsiteY7" fmla="*/ 1432564 h 1432564"/>
              <a:gd name="connsiteX0" fmla="*/ 539938 w 2745014"/>
              <a:gd name="connsiteY0" fmla="*/ 12473 h 1488506"/>
              <a:gd name="connsiteX1" fmla="*/ 230938 w 2745014"/>
              <a:gd name="connsiteY1" fmla="*/ 15 h 1488506"/>
              <a:gd name="connsiteX2" fmla="*/ 4412 w 2745014"/>
              <a:gd name="connsiteY2" fmla="*/ 293894 h 1488506"/>
              <a:gd name="connsiteX3" fmla="*/ 82 w 2745014"/>
              <a:gd name="connsiteY3" fmla="*/ 579644 h 1488506"/>
              <a:gd name="connsiteX4" fmla="*/ 342117 w 2745014"/>
              <a:gd name="connsiteY4" fmla="*/ 874053 h 1488506"/>
              <a:gd name="connsiteX5" fmla="*/ 2398651 w 2745014"/>
              <a:gd name="connsiteY5" fmla="*/ 869724 h 1488506"/>
              <a:gd name="connsiteX6" fmla="*/ 2745014 w 2745014"/>
              <a:gd name="connsiteY6" fmla="*/ 1164133 h 1488506"/>
              <a:gd name="connsiteX7" fmla="*/ 2745014 w 2745014"/>
              <a:gd name="connsiteY7" fmla="*/ 1432564 h 1488506"/>
              <a:gd name="connsiteX0" fmla="*/ 539938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  <a:gd name="connsiteX0" fmla="*/ 671472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2745014" h="1670180">
                <a:moveTo>
                  <a:pt x="671472" y="12473"/>
                </a:moveTo>
                <a:lnTo>
                  <a:pt x="230938" y="15"/>
                </a:lnTo>
                <a:cubicBezTo>
                  <a:pt x="46691" y="-1427"/>
                  <a:pt x="8741" y="96177"/>
                  <a:pt x="4412" y="293894"/>
                </a:cubicBezTo>
                <a:cubicBezTo>
                  <a:pt x="2969" y="389144"/>
                  <a:pt x="1525" y="484394"/>
                  <a:pt x="82" y="579644"/>
                </a:cubicBezTo>
                <a:cubicBezTo>
                  <a:pt x="-2804" y="799007"/>
                  <a:pt x="69836" y="846254"/>
                  <a:pt x="342117" y="874053"/>
                </a:cubicBezTo>
                <a:lnTo>
                  <a:pt x="2398651" y="869724"/>
                </a:lnTo>
                <a:cubicBezTo>
                  <a:pt x="2734912" y="872610"/>
                  <a:pt x="2742128" y="936111"/>
                  <a:pt x="2745014" y="1164133"/>
                </a:cubicBezTo>
                <a:cubicBezTo>
                  <a:pt x="2738065" y="2175433"/>
                  <a:pt x="2745014" y="1343087"/>
                  <a:pt x="2745014" y="1432564"/>
                </a:cubicBez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100-000070000000}"/>
              </a:ext>
            </a:extLst>
          </xdr:cNvPr>
          <xdr:cNvSpPr/>
        </xdr:nvSpPr>
        <xdr:spPr>
          <a:xfrm rot="16200000">
            <a:off x="923194" y="34114153"/>
            <a:ext cx="293076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13" name="Rectangle 112">
            <a:extLst>
              <a:ext uri="{FF2B5EF4-FFF2-40B4-BE49-F238E27FC236}">
                <a16:creationId xmlns:a16="http://schemas.microsoft.com/office/drawing/2014/main" id="{00000000-0008-0000-0100-000071000000}"/>
              </a:ext>
            </a:extLst>
          </xdr:cNvPr>
          <xdr:cNvSpPr/>
        </xdr:nvSpPr>
        <xdr:spPr>
          <a:xfrm rot="16200000">
            <a:off x="2328498" y="34361803"/>
            <a:ext cx="293076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14" name="Rectangle 113">
            <a:extLst>
              <a:ext uri="{FF2B5EF4-FFF2-40B4-BE49-F238E27FC236}">
                <a16:creationId xmlns:a16="http://schemas.microsoft.com/office/drawing/2014/main" id="{00000000-0008-0000-0100-000072000000}"/>
              </a:ext>
            </a:extLst>
          </xdr:cNvPr>
          <xdr:cNvSpPr/>
        </xdr:nvSpPr>
        <xdr:spPr>
          <a:xfrm>
            <a:off x="1179635" y="33894346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100-000073000000}"/>
              </a:ext>
            </a:extLst>
          </xdr:cNvPr>
          <xdr:cNvSpPr/>
        </xdr:nvSpPr>
        <xdr:spPr>
          <a:xfrm>
            <a:off x="1639765" y="34156650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539053</xdr:colOff>
      <xdr:row>42</xdr:row>
      <xdr:rowOff>131884</xdr:rowOff>
    </xdr:from>
    <xdr:to>
      <xdr:col>1</xdr:col>
      <xdr:colOff>1817077</xdr:colOff>
      <xdr:row>42</xdr:row>
      <xdr:rowOff>715259</xdr:rowOff>
    </xdr:to>
    <xdr:grpSp>
      <xdr:nvGrpSpPr>
        <xdr:cNvPr id="116" name="Group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GrpSpPr/>
      </xdr:nvGrpSpPr>
      <xdr:grpSpPr>
        <a:xfrm>
          <a:off x="1161353" y="34923534"/>
          <a:ext cx="1278024" cy="583375"/>
          <a:chOff x="1147188" y="35645480"/>
          <a:chExt cx="1278024" cy="583375"/>
        </a:xfrm>
      </xdr:grpSpPr>
      <xdr:sp macro="" textlink="">
        <xdr:nvSpPr>
          <xdr:cNvPr id="117" name="Freeform 116">
            <a:extLst>
              <a:ext uri="{FF2B5EF4-FFF2-40B4-BE49-F238E27FC236}">
                <a16:creationId xmlns:a16="http://schemas.microsoft.com/office/drawing/2014/main" id="{00000000-0008-0000-0100-000075000000}"/>
              </a:ext>
            </a:extLst>
          </xdr:cNvPr>
          <xdr:cNvSpPr/>
        </xdr:nvSpPr>
        <xdr:spPr>
          <a:xfrm>
            <a:off x="1147188" y="35645480"/>
            <a:ext cx="1278024" cy="583375"/>
          </a:xfrm>
          <a:custGeom>
            <a:avLst/>
            <a:gdLst>
              <a:gd name="connsiteX0" fmla="*/ 29308 w 703385"/>
              <a:gd name="connsiteY0" fmla="*/ 0 h 681404"/>
              <a:gd name="connsiteX1" fmla="*/ 703385 w 703385"/>
              <a:gd name="connsiteY1" fmla="*/ 578827 h 681404"/>
              <a:gd name="connsiteX2" fmla="*/ 703385 w 703385"/>
              <a:gd name="connsiteY2" fmla="*/ 681404 h 681404"/>
              <a:gd name="connsiteX3" fmla="*/ 0 w 703385"/>
              <a:gd name="connsiteY3" fmla="*/ 674077 h 681404"/>
              <a:gd name="connsiteX0" fmla="*/ 0 w 707553"/>
              <a:gd name="connsiteY0" fmla="*/ 0 h 581391"/>
              <a:gd name="connsiteX1" fmla="*/ 707553 w 707553"/>
              <a:gd name="connsiteY1" fmla="*/ 478814 h 581391"/>
              <a:gd name="connsiteX2" fmla="*/ 707553 w 707553"/>
              <a:gd name="connsiteY2" fmla="*/ 581391 h 581391"/>
              <a:gd name="connsiteX3" fmla="*/ 4168 w 707553"/>
              <a:gd name="connsiteY3" fmla="*/ 574064 h 581391"/>
              <a:gd name="connsiteX0" fmla="*/ 0 w 745253"/>
              <a:gd name="connsiteY0" fmla="*/ 0 h 581391"/>
              <a:gd name="connsiteX1" fmla="*/ 707553 w 745253"/>
              <a:gd name="connsiteY1" fmla="*/ 478814 h 581391"/>
              <a:gd name="connsiteX2" fmla="*/ 707553 w 745253"/>
              <a:gd name="connsiteY2" fmla="*/ 581391 h 581391"/>
              <a:gd name="connsiteX3" fmla="*/ 4168 w 745253"/>
              <a:gd name="connsiteY3" fmla="*/ 574064 h 581391"/>
              <a:gd name="connsiteX0" fmla="*/ 0 w 760014"/>
              <a:gd name="connsiteY0" fmla="*/ 0 h 581391"/>
              <a:gd name="connsiteX1" fmla="*/ 707553 w 760014"/>
              <a:gd name="connsiteY1" fmla="*/ 478814 h 581391"/>
              <a:gd name="connsiteX2" fmla="*/ 707553 w 760014"/>
              <a:gd name="connsiteY2" fmla="*/ 581391 h 581391"/>
              <a:gd name="connsiteX3" fmla="*/ 4168 w 760014"/>
              <a:gd name="connsiteY3" fmla="*/ 574064 h 581391"/>
              <a:gd name="connsiteX0" fmla="*/ 0 w 752202"/>
              <a:gd name="connsiteY0" fmla="*/ 0 h 581391"/>
              <a:gd name="connsiteX1" fmla="*/ 707553 w 752202"/>
              <a:gd name="connsiteY1" fmla="*/ 478814 h 581391"/>
              <a:gd name="connsiteX2" fmla="*/ 707553 w 752202"/>
              <a:gd name="connsiteY2" fmla="*/ 581391 h 581391"/>
              <a:gd name="connsiteX3" fmla="*/ 4168 w 752202"/>
              <a:gd name="connsiteY3" fmla="*/ 574064 h 581391"/>
              <a:gd name="connsiteX0" fmla="*/ 0 w 759020"/>
              <a:gd name="connsiteY0" fmla="*/ 0 h 581391"/>
              <a:gd name="connsiteX1" fmla="*/ 707553 w 759020"/>
              <a:gd name="connsiteY1" fmla="*/ 478814 h 581391"/>
              <a:gd name="connsiteX2" fmla="*/ 707553 w 759020"/>
              <a:gd name="connsiteY2" fmla="*/ 581391 h 581391"/>
              <a:gd name="connsiteX3" fmla="*/ 4168 w 759020"/>
              <a:gd name="connsiteY3" fmla="*/ 574064 h 58139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759020" h="581391">
                <a:moveTo>
                  <a:pt x="0" y="0"/>
                </a:moveTo>
                <a:lnTo>
                  <a:pt x="707553" y="478814"/>
                </a:lnTo>
                <a:cubicBezTo>
                  <a:pt x="789957" y="532396"/>
                  <a:pt x="760872" y="581128"/>
                  <a:pt x="707553" y="581391"/>
                </a:cubicBezTo>
                <a:lnTo>
                  <a:pt x="4168" y="574064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100-000076000000}"/>
              </a:ext>
            </a:extLst>
          </xdr:cNvPr>
          <xdr:cNvSpPr/>
        </xdr:nvSpPr>
        <xdr:spPr>
          <a:xfrm rot="1391558">
            <a:off x="1721828" y="35726075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19" name="Rectangle 118">
            <a:extLst>
              <a:ext uri="{FF2B5EF4-FFF2-40B4-BE49-F238E27FC236}">
                <a16:creationId xmlns:a16="http://schemas.microsoft.com/office/drawing/2014/main" id="{00000000-0008-0000-0100-000077000000}"/>
              </a:ext>
            </a:extLst>
          </xdr:cNvPr>
          <xdr:cNvSpPr/>
        </xdr:nvSpPr>
        <xdr:spPr>
          <a:xfrm>
            <a:off x="1456593" y="36017687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410307</xdr:colOff>
      <xdr:row>2</xdr:row>
      <xdr:rowOff>190500</xdr:rowOff>
    </xdr:from>
    <xdr:to>
      <xdr:col>1</xdr:col>
      <xdr:colOff>2083987</xdr:colOff>
      <xdr:row>2</xdr:row>
      <xdr:rowOff>675540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GrpSpPr/>
      </xdr:nvGrpSpPr>
      <xdr:grpSpPr>
        <a:xfrm>
          <a:off x="1032607" y="1295400"/>
          <a:ext cx="1673680" cy="485040"/>
          <a:chOff x="920051" y="34977266"/>
          <a:chExt cx="1673680" cy="485040"/>
        </a:xfrm>
      </xdr:grpSpPr>
      <xdr:grpSp>
        <xdr:nvGrpSpPr>
          <xdr:cNvPr id="121" name="Group 120">
            <a:extLst>
              <a:ext uri="{FF2B5EF4-FFF2-40B4-BE49-F238E27FC236}">
                <a16:creationId xmlns:a16="http://schemas.microsoft.com/office/drawing/2014/main" id="{00000000-0008-0000-0100-000079000000}"/>
              </a:ext>
            </a:extLst>
          </xdr:cNvPr>
          <xdr:cNvGrpSpPr/>
        </xdr:nvGrpSpPr>
        <xdr:grpSpPr>
          <a:xfrm>
            <a:off x="920051" y="35169231"/>
            <a:ext cx="1673680" cy="65942"/>
            <a:chOff x="2313215" y="1143000"/>
            <a:chExt cx="3401785" cy="285750"/>
          </a:xfrm>
        </xdr:grpSpPr>
        <xdr:sp macro="" textlink="">
          <xdr:nvSpPr>
            <xdr:cNvPr id="125" name="Freeform 124">
              <a:extLst>
                <a:ext uri="{FF2B5EF4-FFF2-40B4-BE49-F238E27FC236}">
                  <a16:creationId xmlns:a16="http://schemas.microsoft.com/office/drawing/2014/main" id="{00000000-0008-0000-0100-00007D000000}"/>
                </a:ext>
              </a:extLst>
            </xdr:cNvPr>
            <xdr:cNvSpPr/>
          </xdr:nvSpPr>
          <xdr:spPr>
            <a:xfrm>
              <a:off x="2313215" y="1143000"/>
              <a:ext cx="2381250" cy="285750"/>
            </a:xfrm>
            <a:custGeom>
              <a:avLst/>
              <a:gdLst>
                <a:gd name="connsiteX0" fmla="*/ 0 w 2394857"/>
                <a:gd name="connsiteY0" fmla="*/ 292554 h 299358"/>
                <a:gd name="connsiteX1" fmla="*/ 1381125 w 2394857"/>
                <a:gd name="connsiteY1" fmla="*/ 299358 h 299358"/>
                <a:gd name="connsiteX2" fmla="*/ 1721303 w 2394857"/>
                <a:gd name="connsiteY2" fmla="*/ 0 h 299358"/>
                <a:gd name="connsiteX3" fmla="*/ 2394857 w 2394857"/>
                <a:gd name="connsiteY3" fmla="*/ 13608 h 299358"/>
                <a:gd name="connsiteX0" fmla="*/ 0 w 2388053"/>
                <a:gd name="connsiteY0" fmla="*/ 292554 h 299358"/>
                <a:gd name="connsiteX1" fmla="*/ 1381125 w 2388053"/>
                <a:gd name="connsiteY1" fmla="*/ 299358 h 299358"/>
                <a:gd name="connsiteX2" fmla="*/ 1721303 w 2388053"/>
                <a:gd name="connsiteY2" fmla="*/ 0 h 299358"/>
                <a:gd name="connsiteX3" fmla="*/ 2388053 w 2388053"/>
                <a:gd name="connsiteY3" fmla="*/ 6804 h 299358"/>
                <a:gd name="connsiteX0" fmla="*/ 0 w 2388053"/>
                <a:gd name="connsiteY0" fmla="*/ 285750 h 292554"/>
                <a:gd name="connsiteX1" fmla="*/ 1381125 w 2388053"/>
                <a:gd name="connsiteY1" fmla="*/ 292554 h 292554"/>
                <a:gd name="connsiteX2" fmla="*/ 1707696 w 2388053"/>
                <a:gd name="connsiteY2" fmla="*/ 0 h 292554"/>
                <a:gd name="connsiteX3" fmla="*/ 2388053 w 2388053"/>
                <a:gd name="connsiteY3" fmla="*/ 0 h 292554"/>
                <a:gd name="connsiteX0" fmla="*/ 0 w 2388053"/>
                <a:gd name="connsiteY0" fmla="*/ 285750 h 285750"/>
                <a:gd name="connsiteX1" fmla="*/ 1367518 w 2388053"/>
                <a:gd name="connsiteY1" fmla="*/ 285750 h 285750"/>
                <a:gd name="connsiteX2" fmla="*/ 1707696 w 2388053"/>
                <a:gd name="connsiteY2" fmla="*/ 0 h 285750"/>
                <a:gd name="connsiteX3" fmla="*/ 2388053 w 2388053"/>
                <a:gd name="connsiteY3" fmla="*/ 0 h 285750"/>
                <a:gd name="connsiteX0" fmla="*/ 0 w 2381250"/>
                <a:gd name="connsiteY0" fmla="*/ 285750 h 285750"/>
                <a:gd name="connsiteX1" fmla="*/ 1360715 w 2381250"/>
                <a:gd name="connsiteY1" fmla="*/ 285750 h 285750"/>
                <a:gd name="connsiteX2" fmla="*/ 1700893 w 2381250"/>
                <a:gd name="connsiteY2" fmla="*/ 0 h 285750"/>
                <a:gd name="connsiteX3" fmla="*/ 2381250 w 2381250"/>
                <a:gd name="connsiteY3" fmla="*/ 0 h 2857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381250" h="285750">
                  <a:moveTo>
                    <a:pt x="0" y="285750"/>
                  </a:moveTo>
                  <a:lnTo>
                    <a:pt x="1360715" y="285750"/>
                  </a:lnTo>
                  <a:lnTo>
                    <a:pt x="1700893" y="0"/>
                  </a:lnTo>
                  <a:lnTo>
                    <a:pt x="2381250" y="0"/>
                  </a:lnTo>
                </a:path>
              </a:pathLst>
            </a:custGeom>
            <a:noFill/>
            <a:ln w="19050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26" name="Straight Connector 125">
              <a:extLst>
                <a:ext uri="{FF2B5EF4-FFF2-40B4-BE49-F238E27FC236}">
                  <a16:creationId xmlns:a16="http://schemas.microsoft.com/office/drawing/2014/main" id="{00000000-0008-0000-0100-00007E000000}"/>
                </a:ext>
              </a:extLst>
            </xdr:cNvPr>
            <xdr:cNvCxnSpPr/>
          </xdr:nvCxnSpPr>
          <xdr:spPr>
            <a:xfrm>
              <a:off x="4014107" y="1428750"/>
              <a:ext cx="1700893" cy="0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2" name="Rectangle 121">
            <a:extLst>
              <a:ext uri="{FF2B5EF4-FFF2-40B4-BE49-F238E27FC236}">
                <a16:creationId xmlns:a16="http://schemas.microsoft.com/office/drawing/2014/main" id="{00000000-0008-0000-0100-00007A000000}"/>
              </a:ext>
            </a:extLst>
          </xdr:cNvPr>
          <xdr:cNvSpPr/>
        </xdr:nvSpPr>
        <xdr:spPr>
          <a:xfrm>
            <a:off x="1084385" y="35249827"/>
            <a:ext cx="32238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23" name="Rectangle 122">
            <a:extLst>
              <a:ext uri="{FF2B5EF4-FFF2-40B4-BE49-F238E27FC236}">
                <a16:creationId xmlns:a16="http://schemas.microsoft.com/office/drawing/2014/main" id="{00000000-0008-0000-0100-00007B000000}"/>
              </a:ext>
            </a:extLst>
          </xdr:cNvPr>
          <xdr:cNvSpPr/>
        </xdr:nvSpPr>
        <xdr:spPr>
          <a:xfrm>
            <a:off x="2066192" y="35257154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100-00007C000000}"/>
              </a:ext>
            </a:extLst>
          </xdr:cNvPr>
          <xdr:cNvSpPr/>
        </xdr:nvSpPr>
        <xdr:spPr>
          <a:xfrm>
            <a:off x="1756996" y="34977266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461596</xdr:colOff>
      <xdr:row>3</xdr:row>
      <xdr:rowOff>234461</xdr:rowOff>
    </xdr:from>
    <xdr:to>
      <xdr:col>1</xdr:col>
      <xdr:colOff>2174630</xdr:colOff>
      <xdr:row>3</xdr:row>
      <xdr:rowOff>587534</xdr:rowOff>
    </xdr:to>
    <xdr:grpSp>
      <xdr:nvGrpSpPr>
        <xdr:cNvPr id="127" name="Group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GrpSpPr/>
      </xdr:nvGrpSpPr>
      <xdr:grpSpPr>
        <a:xfrm>
          <a:off x="1083896" y="2177561"/>
          <a:ext cx="1713034" cy="353073"/>
          <a:chOff x="989136" y="28161845"/>
          <a:chExt cx="1713034" cy="353073"/>
        </a:xfrm>
      </xdr:grpSpPr>
      <xdr:sp macro="" textlink="">
        <xdr:nvSpPr>
          <xdr:cNvPr id="128" name="Left Bracket 127">
            <a:extLst>
              <a:ext uri="{FF2B5EF4-FFF2-40B4-BE49-F238E27FC236}">
                <a16:creationId xmlns:a16="http://schemas.microsoft.com/office/drawing/2014/main" id="{00000000-0008-0000-0100-000080000000}"/>
              </a:ext>
            </a:extLst>
          </xdr:cNvPr>
          <xdr:cNvSpPr/>
        </xdr:nvSpPr>
        <xdr:spPr>
          <a:xfrm rot="16200000">
            <a:off x="1619252" y="27563884"/>
            <a:ext cx="285750" cy="1545981"/>
          </a:xfrm>
          <a:prstGeom prst="leftBracket">
            <a:avLst>
              <a:gd name="adj" fmla="val 0"/>
            </a:avLst>
          </a:prstGeom>
          <a:ln w="1905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9" name="Rectangle 128">
            <a:extLst>
              <a:ext uri="{FF2B5EF4-FFF2-40B4-BE49-F238E27FC236}">
                <a16:creationId xmlns:a16="http://schemas.microsoft.com/office/drawing/2014/main" id="{00000000-0008-0000-0100-000081000000}"/>
              </a:ext>
            </a:extLst>
          </xdr:cNvPr>
          <xdr:cNvSpPr/>
        </xdr:nvSpPr>
        <xdr:spPr>
          <a:xfrm>
            <a:off x="1560635" y="2827459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100-000082000000}"/>
              </a:ext>
            </a:extLst>
          </xdr:cNvPr>
          <xdr:cNvSpPr/>
        </xdr:nvSpPr>
        <xdr:spPr>
          <a:xfrm rot="16200000">
            <a:off x="2453055" y="28265804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505558</xdr:colOff>
      <xdr:row>4</xdr:row>
      <xdr:rowOff>234461</xdr:rowOff>
    </xdr:from>
    <xdr:to>
      <xdr:col>1</xdr:col>
      <xdr:colOff>2167304</xdr:colOff>
      <xdr:row>4</xdr:row>
      <xdr:rowOff>687264</xdr:rowOff>
    </xdr:to>
    <xdr:grpSp>
      <xdr:nvGrpSpPr>
        <xdr:cNvPr id="131" name="Group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GrpSpPr/>
      </xdr:nvGrpSpPr>
      <xdr:grpSpPr>
        <a:xfrm>
          <a:off x="1127858" y="3015761"/>
          <a:ext cx="1661746" cy="452803"/>
          <a:chOff x="1031630" y="22310479"/>
          <a:chExt cx="1661746" cy="452803"/>
        </a:xfrm>
      </xdr:grpSpPr>
      <xdr:sp macro="" textlink="">
        <xdr:nvSpPr>
          <xdr:cNvPr id="132" name="Left Bracket 131">
            <a:extLst>
              <a:ext uri="{FF2B5EF4-FFF2-40B4-BE49-F238E27FC236}">
                <a16:creationId xmlns:a16="http://schemas.microsoft.com/office/drawing/2014/main" id="{00000000-0008-0000-0100-000084000000}"/>
              </a:ext>
            </a:extLst>
          </xdr:cNvPr>
          <xdr:cNvSpPr/>
        </xdr:nvSpPr>
        <xdr:spPr>
          <a:xfrm rot="5400000">
            <a:off x="1662477" y="21870133"/>
            <a:ext cx="212483" cy="1474178"/>
          </a:xfrm>
          <a:prstGeom prst="leftBracket">
            <a:avLst>
              <a:gd name="adj" fmla="val 0"/>
            </a:avLst>
          </a:prstGeom>
          <a:ln w="1905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100-000085000000}"/>
              </a:ext>
            </a:extLst>
          </xdr:cNvPr>
          <xdr:cNvSpPr/>
        </xdr:nvSpPr>
        <xdr:spPr>
          <a:xfrm>
            <a:off x="1617784" y="22310479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34" name="Rectangle 133">
            <a:extLst>
              <a:ext uri="{FF2B5EF4-FFF2-40B4-BE49-F238E27FC236}">
                <a16:creationId xmlns:a16="http://schemas.microsoft.com/office/drawing/2014/main" id="{00000000-0008-0000-0100-000086000000}"/>
              </a:ext>
            </a:extLst>
          </xdr:cNvPr>
          <xdr:cNvSpPr/>
        </xdr:nvSpPr>
        <xdr:spPr>
          <a:xfrm rot="16200000">
            <a:off x="2444261" y="22514168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542193</xdr:colOff>
      <xdr:row>5</xdr:row>
      <xdr:rowOff>73269</xdr:rowOff>
    </xdr:from>
    <xdr:to>
      <xdr:col>1</xdr:col>
      <xdr:colOff>2110156</xdr:colOff>
      <xdr:row>5</xdr:row>
      <xdr:rowOff>630114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GrpSpPr/>
      </xdr:nvGrpSpPr>
      <xdr:grpSpPr>
        <a:xfrm>
          <a:off x="1164493" y="3692769"/>
          <a:ext cx="1567963" cy="556845"/>
          <a:chOff x="1040423" y="23116443"/>
          <a:chExt cx="1567963" cy="556845"/>
        </a:xfrm>
      </xdr:grpSpPr>
      <xdr:grpSp>
        <xdr:nvGrpSpPr>
          <xdr:cNvPr id="136" name="Group 135">
            <a:extLst>
              <a:ext uri="{FF2B5EF4-FFF2-40B4-BE49-F238E27FC236}">
                <a16:creationId xmlns:a16="http://schemas.microsoft.com/office/drawing/2014/main" id="{00000000-0008-0000-0100-000088000000}"/>
              </a:ext>
            </a:extLst>
          </xdr:cNvPr>
          <xdr:cNvGrpSpPr/>
        </xdr:nvGrpSpPr>
        <xdr:grpSpPr>
          <a:xfrm>
            <a:off x="1040423" y="23336250"/>
            <a:ext cx="1406769" cy="337038"/>
            <a:chOff x="609600" y="2619375"/>
            <a:chExt cx="1762125" cy="428625"/>
          </a:xfrm>
        </xdr:grpSpPr>
        <xdr:sp macro="" textlink="">
          <xdr:nvSpPr>
            <xdr:cNvPr id="140" name="Left Bracket 139">
              <a:extLst>
                <a:ext uri="{FF2B5EF4-FFF2-40B4-BE49-F238E27FC236}">
                  <a16:creationId xmlns:a16="http://schemas.microsoft.com/office/drawing/2014/main" id="{00000000-0008-0000-0100-00008C000000}"/>
                </a:ext>
              </a:extLst>
            </xdr:cNvPr>
            <xdr:cNvSpPr/>
          </xdr:nvSpPr>
          <xdr:spPr>
            <a:xfrm rot="16200000">
              <a:off x="1323975" y="2047875"/>
              <a:ext cx="285750" cy="1714500"/>
            </a:xfrm>
            <a:prstGeom prst="leftBracket">
              <a:avLst>
                <a:gd name="adj" fmla="val 0"/>
              </a:avLst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41" name="Left Bracket 140">
              <a:extLst>
                <a:ext uri="{FF2B5EF4-FFF2-40B4-BE49-F238E27FC236}">
                  <a16:creationId xmlns:a16="http://schemas.microsoft.com/office/drawing/2014/main" id="{00000000-0008-0000-0100-00008D000000}"/>
                </a:ext>
              </a:extLst>
            </xdr:cNvPr>
            <xdr:cNvSpPr/>
          </xdr:nvSpPr>
          <xdr:spPr>
            <a:xfrm rot="5400000">
              <a:off x="1371600" y="1905000"/>
              <a:ext cx="285750" cy="1714500"/>
            </a:xfrm>
            <a:prstGeom prst="leftBracket">
              <a:avLst>
                <a:gd name="adj" fmla="val 0"/>
              </a:avLst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137" name="Rectangle 136">
            <a:extLst>
              <a:ext uri="{FF2B5EF4-FFF2-40B4-BE49-F238E27FC236}">
                <a16:creationId xmlns:a16="http://schemas.microsoft.com/office/drawing/2014/main" id="{00000000-0008-0000-0100-000089000000}"/>
              </a:ext>
            </a:extLst>
          </xdr:cNvPr>
          <xdr:cNvSpPr/>
        </xdr:nvSpPr>
        <xdr:spPr>
          <a:xfrm>
            <a:off x="1531327" y="23116443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38" name="Rectangle 137">
            <a:extLst>
              <a:ext uri="{FF2B5EF4-FFF2-40B4-BE49-F238E27FC236}">
                <a16:creationId xmlns:a16="http://schemas.microsoft.com/office/drawing/2014/main" id="{00000000-0008-0000-0100-00008A000000}"/>
              </a:ext>
            </a:extLst>
          </xdr:cNvPr>
          <xdr:cNvSpPr/>
        </xdr:nvSpPr>
        <xdr:spPr>
          <a:xfrm rot="16200000">
            <a:off x="2359271" y="23365558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100-00008B000000}"/>
              </a:ext>
            </a:extLst>
          </xdr:cNvPr>
          <xdr:cNvSpPr/>
        </xdr:nvSpPr>
        <xdr:spPr>
          <a:xfrm rot="16200000">
            <a:off x="1048841" y="23430413"/>
            <a:ext cx="299610" cy="1231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205154</xdr:colOff>
      <xdr:row>6</xdr:row>
      <xdr:rowOff>241789</xdr:rowOff>
    </xdr:from>
    <xdr:to>
      <xdr:col>1</xdr:col>
      <xdr:colOff>2290562</xdr:colOff>
      <xdr:row>6</xdr:row>
      <xdr:rowOff>715191</xdr:rowOff>
    </xdr:to>
    <xdr:grpSp>
      <xdr:nvGrpSpPr>
        <xdr:cNvPr id="142" name="Group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GrpSpPr/>
      </xdr:nvGrpSpPr>
      <xdr:grpSpPr>
        <a:xfrm>
          <a:off x="827454" y="4699489"/>
          <a:ext cx="2085408" cy="473402"/>
          <a:chOff x="732528" y="29915827"/>
          <a:chExt cx="2085408" cy="473402"/>
        </a:xfrm>
      </xdr:grpSpPr>
      <xdr:grpSp>
        <xdr:nvGrpSpPr>
          <xdr:cNvPr id="143" name="Group 142">
            <a:extLst>
              <a:ext uri="{FF2B5EF4-FFF2-40B4-BE49-F238E27FC236}">
                <a16:creationId xmlns:a16="http://schemas.microsoft.com/office/drawing/2014/main" id="{00000000-0008-0000-0100-00008F000000}"/>
              </a:ext>
            </a:extLst>
          </xdr:cNvPr>
          <xdr:cNvGrpSpPr/>
        </xdr:nvGrpSpPr>
        <xdr:grpSpPr>
          <a:xfrm>
            <a:off x="871905" y="29915827"/>
            <a:ext cx="1795095" cy="307731"/>
            <a:chOff x="612322" y="762000"/>
            <a:chExt cx="2382382" cy="285750"/>
          </a:xfrm>
        </xdr:grpSpPr>
        <xdr:sp macro="" textlink="">
          <xdr:nvSpPr>
            <xdr:cNvPr id="149" name="Freeform 148">
              <a:extLst>
                <a:ext uri="{FF2B5EF4-FFF2-40B4-BE49-F238E27FC236}">
                  <a16:creationId xmlns:a16="http://schemas.microsoft.com/office/drawing/2014/main" id="{00000000-0008-0000-0100-000095000000}"/>
                </a:ext>
              </a:extLst>
            </xdr:cNvPr>
            <xdr:cNvSpPr/>
          </xdr:nvSpPr>
          <xdr:spPr>
            <a:xfrm>
              <a:off x="612322" y="762000"/>
              <a:ext cx="1020535" cy="285750"/>
            </a:xfrm>
            <a:custGeom>
              <a:avLst/>
              <a:gdLst>
                <a:gd name="connsiteX0" fmla="*/ 0 w 1047750"/>
                <a:gd name="connsiteY0" fmla="*/ 0 h 285750"/>
                <a:gd name="connsiteX1" fmla="*/ 7938 w 1047750"/>
                <a:gd name="connsiteY1" fmla="*/ 285750 h 285750"/>
                <a:gd name="connsiteX2" fmla="*/ 1047750 w 1047750"/>
                <a:gd name="connsiteY2" fmla="*/ 285750 h 285750"/>
                <a:gd name="connsiteX0" fmla="*/ 0 w 1031875"/>
                <a:gd name="connsiteY0" fmla="*/ 0 h 285750"/>
                <a:gd name="connsiteX1" fmla="*/ 7938 w 1031875"/>
                <a:gd name="connsiteY1" fmla="*/ 285750 h 285750"/>
                <a:gd name="connsiteX2" fmla="*/ 1031875 w 1031875"/>
                <a:gd name="connsiteY2" fmla="*/ 277812 h 285750"/>
                <a:gd name="connsiteX0" fmla="*/ 0 w 1031875"/>
                <a:gd name="connsiteY0" fmla="*/ 0 h 277812"/>
                <a:gd name="connsiteX1" fmla="*/ 7939 w 1031875"/>
                <a:gd name="connsiteY1" fmla="*/ 277812 h 277812"/>
                <a:gd name="connsiteX2" fmla="*/ 1031875 w 1031875"/>
                <a:gd name="connsiteY2" fmla="*/ 277812 h 277812"/>
                <a:gd name="connsiteX0" fmla="*/ 0 w 1023936"/>
                <a:gd name="connsiteY0" fmla="*/ 0 h 285750"/>
                <a:gd name="connsiteX1" fmla="*/ 0 w 1023936"/>
                <a:gd name="connsiteY1" fmla="*/ 285750 h 285750"/>
                <a:gd name="connsiteX2" fmla="*/ 1023936 w 1023936"/>
                <a:gd name="connsiteY2" fmla="*/ 285750 h 2857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1023936" h="285750">
                  <a:moveTo>
                    <a:pt x="0" y="0"/>
                  </a:moveTo>
                  <a:lnTo>
                    <a:pt x="0" y="285750"/>
                  </a:lnTo>
                  <a:lnTo>
                    <a:pt x="1023936" y="285750"/>
                  </a:lnTo>
                </a:path>
              </a:pathLst>
            </a:cu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50" name="Freeform 149">
              <a:extLst>
                <a:ext uri="{FF2B5EF4-FFF2-40B4-BE49-F238E27FC236}">
                  <a16:creationId xmlns:a16="http://schemas.microsoft.com/office/drawing/2014/main" id="{00000000-0008-0000-0100-000096000000}"/>
                </a:ext>
              </a:extLst>
            </xdr:cNvPr>
            <xdr:cNvSpPr/>
          </xdr:nvSpPr>
          <xdr:spPr>
            <a:xfrm>
              <a:off x="1974169" y="762000"/>
              <a:ext cx="1020535" cy="285750"/>
            </a:xfrm>
            <a:custGeom>
              <a:avLst/>
              <a:gdLst>
                <a:gd name="connsiteX0" fmla="*/ 1023938 w 1023938"/>
                <a:gd name="connsiteY0" fmla="*/ 0 h 309562"/>
                <a:gd name="connsiteX1" fmla="*/ 1016000 w 1023938"/>
                <a:gd name="connsiteY1" fmla="*/ 309562 h 309562"/>
                <a:gd name="connsiteX2" fmla="*/ 0 w 1023938"/>
                <a:gd name="connsiteY2" fmla="*/ 285750 h 309562"/>
                <a:gd name="connsiteX0" fmla="*/ 1023938 w 1023938"/>
                <a:gd name="connsiteY0" fmla="*/ 0 h 285750"/>
                <a:gd name="connsiteX1" fmla="*/ 1016000 w 1023938"/>
                <a:gd name="connsiteY1" fmla="*/ 277812 h 285750"/>
                <a:gd name="connsiteX2" fmla="*/ 0 w 1023938"/>
                <a:gd name="connsiteY2" fmla="*/ 285750 h 285750"/>
                <a:gd name="connsiteX0" fmla="*/ 1016000 w 1016000"/>
                <a:gd name="connsiteY0" fmla="*/ 0 h 293688"/>
                <a:gd name="connsiteX1" fmla="*/ 1016000 w 1016000"/>
                <a:gd name="connsiteY1" fmla="*/ 285750 h 293688"/>
                <a:gd name="connsiteX2" fmla="*/ 0 w 1016000"/>
                <a:gd name="connsiteY2" fmla="*/ 293688 h 293688"/>
                <a:gd name="connsiteX0" fmla="*/ 1023937 w 1023937"/>
                <a:gd name="connsiteY0" fmla="*/ 0 h 285750"/>
                <a:gd name="connsiteX1" fmla="*/ 1023937 w 1023937"/>
                <a:gd name="connsiteY1" fmla="*/ 285750 h 285750"/>
                <a:gd name="connsiteX2" fmla="*/ 0 w 1023937"/>
                <a:gd name="connsiteY2" fmla="*/ 285750 h 2857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1023937" h="285750">
                  <a:moveTo>
                    <a:pt x="1023937" y="0"/>
                  </a:moveTo>
                  <a:lnTo>
                    <a:pt x="1023937" y="285750"/>
                  </a:lnTo>
                  <a:lnTo>
                    <a:pt x="0" y="285750"/>
                  </a:lnTo>
                </a:path>
              </a:pathLst>
            </a:cu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100-000097000000}"/>
                </a:ext>
              </a:extLst>
            </xdr:cNvPr>
            <xdr:cNvCxnSpPr/>
          </xdr:nvCxnSpPr>
          <xdr:spPr>
            <a:xfrm>
              <a:off x="1292678" y="974037"/>
              <a:ext cx="1020535" cy="0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4" name="Rectangle 143">
            <a:extLst>
              <a:ext uri="{FF2B5EF4-FFF2-40B4-BE49-F238E27FC236}">
                <a16:creationId xmlns:a16="http://schemas.microsoft.com/office/drawing/2014/main" id="{00000000-0008-0000-0100-000090000000}"/>
              </a:ext>
            </a:extLst>
          </xdr:cNvPr>
          <xdr:cNvSpPr/>
        </xdr:nvSpPr>
        <xdr:spPr>
          <a:xfrm>
            <a:off x="1611923" y="29959788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100-000091000000}"/>
              </a:ext>
            </a:extLst>
          </xdr:cNvPr>
          <xdr:cNvSpPr/>
        </xdr:nvSpPr>
        <xdr:spPr>
          <a:xfrm>
            <a:off x="1068266" y="30244073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46" name="Rectangle 145">
            <a:extLst>
              <a:ext uri="{FF2B5EF4-FFF2-40B4-BE49-F238E27FC236}">
                <a16:creationId xmlns:a16="http://schemas.microsoft.com/office/drawing/2014/main" id="{00000000-0008-0000-0100-000092000000}"/>
              </a:ext>
            </a:extLst>
          </xdr:cNvPr>
          <xdr:cNvSpPr/>
        </xdr:nvSpPr>
        <xdr:spPr>
          <a:xfrm>
            <a:off x="2143858" y="30235281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47" name="Rectangle 146">
            <a:extLst>
              <a:ext uri="{FF2B5EF4-FFF2-40B4-BE49-F238E27FC236}">
                <a16:creationId xmlns:a16="http://schemas.microsoft.com/office/drawing/2014/main" id="{00000000-0008-0000-0100-000093000000}"/>
              </a:ext>
            </a:extLst>
          </xdr:cNvPr>
          <xdr:cNvSpPr/>
        </xdr:nvSpPr>
        <xdr:spPr>
          <a:xfrm rot="16200000">
            <a:off x="2568821" y="30022800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100-000094000000}"/>
              </a:ext>
            </a:extLst>
          </xdr:cNvPr>
          <xdr:cNvSpPr/>
        </xdr:nvSpPr>
        <xdr:spPr>
          <a:xfrm rot="5400000">
            <a:off x="628569" y="30028745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175846</xdr:colOff>
      <xdr:row>7</xdr:row>
      <xdr:rowOff>285750</xdr:rowOff>
    </xdr:from>
    <xdr:to>
      <xdr:col>1</xdr:col>
      <xdr:colOff>2306597</xdr:colOff>
      <xdr:row>7</xdr:row>
      <xdr:rowOff>877848</xdr:rowOff>
    </xdr:to>
    <xdr:grpSp>
      <xdr:nvGrpSpPr>
        <xdr:cNvPr id="152" name="Group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GrpSpPr/>
      </xdr:nvGrpSpPr>
      <xdr:grpSpPr>
        <a:xfrm>
          <a:off x="798146" y="5581650"/>
          <a:ext cx="2130751" cy="592098"/>
          <a:chOff x="770711" y="30639811"/>
          <a:chExt cx="2130751" cy="592098"/>
        </a:xfrm>
      </xdr:grpSpPr>
      <xdr:grpSp>
        <xdr:nvGrpSpPr>
          <xdr:cNvPr id="153" name="Group 152">
            <a:extLst>
              <a:ext uri="{FF2B5EF4-FFF2-40B4-BE49-F238E27FC236}">
                <a16:creationId xmlns:a16="http://schemas.microsoft.com/office/drawing/2014/main" id="{00000000-0008-0000-0100-000099000000}"/>
              </a:ext>
            </a:extLst>
          </xdr:cNvPr>
          <xdr:cNvGrpSpPr/>
        </xdr:nvGrpSpPr>
        <xdr:grpSpPr>
          <a:xfrm>
            <a:off x="770711" y="30639811"/>
            <a:ext cx="2130751" cy="411688"/>
            <a:chOff x="712096" y="30603176"/>
            <a:chExt cx="2130751" cy="411688"/>
          </a:xfrm>
        </xdr:grpSpPr>
        <xdr:grpSp>
          <xdr:nvGrpSpPr>
            <xdr:cNvPr id="155" name="Group 154">
              <a:extLst>
                <a:ext uri="{FF2B5EF4-FFF2-40B4-BE49-F238E27FC236}">
                  <a16:creationId xmlns:a16="http://schemas.microsoft.com/office/drawing/2014/main" id="{00000000-0008-0000-0100-00009B000000}"/>
                </a:ext>
              </a:extLst>
            </xdr:cNvPr>
            <xdr:cNvGrpSpPr/>
          </xdr:nvGrpSpPr>
          <xdr:grpSpPr>
            <a:xfrm rot="10800000">
              <a:off x="854109" y="30671545"/>
              <a:ext cx="1820218" cy="343319"/>
              <a:chOff x="1632858" y="704432"/>
              <a:chExt cx="2041070" cy="343319"/>
            </a:xfrm>
          </xdr:grpSpPr>
          <xdr:sp macro="" textlink="">
            <xdr:nvSpPr>
              <xdr:cNvPr id="160" name="Freeform 159">
                <a:extLst>
                  <a:ext uri="{FF2B5EF4-FFF2-40B4-BE49-F238E27FC236}">
                    <a16:creationId xmlns:a16="http://schemas.microsoft.com/office/drawing/2014/main" id="{00000000-0008-0000-0100-0000A0000000}"/>
                  </a:ext>
                </a:extLst>
              </xdr:cNvPr>
              <xdr:cNvSpPr/>
            </xdr:nvSpPr>
            <xdr:spPr>
              <a:xfrm>
                <a:off x="1632858" y="762000"/>
                <a:ext cx="1020535" cy="285750"/>
              </a:xfrm>
              <a:custGeom>
                <a:avLst/>
                <a:gdLst>
                  <a:gd name="connsiteX0" fmla="*/ 0 w 1088572"/>
                  <a:gd name="connsiteY0" fmla="*/ 278946 h 278946"/>
                  <a:gd name="connsiteX1" fmla="*/ 6804 w 1088572"/>
                  <a:gd name="connsiteY1" fmla="*/ 13607 h 278946"/>
                  <a:gd name="connsiteX2" fmla="*/ 1027339 w 1088572"/>
                  <a:gd name="connsiteY2" fmla="*/ 0 h 278946"/>
                  <a:gd name="connsiteX3" fmla="*/ 1088572 w 1088572"/>
                  <a:gd name="connsiteY3" fmla="*/ 122464 h 278946"/>
                  <a:gd name="connsiteX0" fmla="*/ 0 w 1027339"/>
                  <a:gd name="connsiteY0" fmla="*/ 278946 h 278946"/>
                  <a:gd name="connsiteX1" fmla="*/ 6804 w 1027339"/>
                  <a:gd name="connsiteY1" fmla="*/ 13607 h 278946"/>
                  <a:gd name="connsiteX2" fmla="*/ 1027339 w 1027339"/>
                  <a:gd name="connsiteY2" fmla="*/ 0 h 278946"/>
                  <a:gd name="connsiteX0" fmla="*/ 0 w 1027339"/>
                  <a:gd name="connsiteY0" fmla="*/ 285750 h 285750"/>
                  <a:gd name="connsiteX1" fmla="*/ 1 w 1027339"/>
                  <a:gd name="connsiteY1" fmla="*/ 0 h 285750"/>
                  <a:gd name="connsiteX2" fmla="*/ 1027339 w 1027339"/>
                  <a:gd name="connsiteY2" fmla="*/ 6804 h 285750"/>
                  <a:gd name="connsiteX0" fmla="*/ 0 w 1027338"/>
                  <a:gd name="connsiteY0" fmla="*/ 285750 h 285750"/>
                  <a:gd name="connsiteX1" fmla="*/ 0 w 1027338"/>
                  <a:gd name="connsiteY1" fmla="*/ 0 h 285750"/>
                  <a:gd name="connsiteX2" fmla="*/ 1027338 w 1027338"/>
                  <a:gd name="connsiteY2" fmla="*/ 6804 h 285750"/>
                  <a:gd name="connsiteX0" fmla="*/ 0 w 680356"/>
                  <a:gd name="connsiteY0" fmla="*/ 285750 h 285750"/>
                  <a:gd name="connsiteX1" fmla="*/ 0 w 680356"/>
                  <a:gd name="connsiteY1" fmla="*/ 0 h 285750"/>
                  <a:gd name="connsiteX2" fmla="*/ 680356 w 680356"/>
                  <a:gd name="connsiteY2" fmla="*/ 0 h 285750"/>
                  <a:gd name="connsiteX0" fmla="*/ 0 w 1020535"/>
                  <a:gd name="connsiteY0" fmla="*/ 285750 h 285750"/>
                  <a:gd name="connsiteX1" fmla="*/ 0 w 1020535"/>
                  <a:gd name="connsiteY1" fmla="*/ 0 h 285750"/>
                  <a:gd name="connsiteX2" fmla="*/ 1020535 w 1020535"/>
                  <a:gd name="connsiteY2" fmla="*/ 0 h 28575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</a:cxnLst>
                <a:rect l="l" t="t" r="r" b="b"/>
                <a:pathLst>
                  <a:path w="1020535" h="285750">
                    <a:moveTo>
                      <a:pt x="0" y="285750"/>
                    </a:moveTo>
                    <a:lnTo>
                      <a:pt x="0" y="0"/>
                    </a:lnTo>
                    <a:lnTo>
                      <a:pt x="1020535" y="0"/>
                    </a:lnTo>
                  </a:path>
                </a:pathLst>
              </a:custGeom>
              <a:noFill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161" name="Freeform 160">
                <a:extLst>
                  <a:ext uri="{FF2B5EF4-FFF2-40B4-BE49-F238E27FC236}">
                    <a16:creationId xmlns:a16="http://schemas.microsoft.com/office/drawing/2014/main" id="{00000000-0008-0000-0100-0000A1000000}"/>
                  </a:ext>
                </a:extLst>
              </xdr:cNvPr>
              <xdr:cNvSpPr/>
            </xdr:nvSpPr>
            <xdr:spPr>
              <a:xfrm>
                <a:off x="2313213" y="704432"/>
                <a:ext cx="1360715" cy="343319"/>
              </a:xfrm>
              <a:custGeom>
                <a:avLst/>
                <a:gdLst>
                  <a:gd name="connsiteX0" fmla="*/ 0 w 1374321"/>
                  <a:gd name="connsiteY0" fmla="*/ 0 h 557892"/>
                  <a:gd name="connsiteX1" fmla="*/ 340178 w 1374321"/>
                  <a:gd name="connsiteY1" fmla="*/ 0 h 557892"/>
                  <a:gd name="connsiteX2" fmla="*/ 673553 w 1374321"/>
                  <a:gd name="connsiteY2" fmla="*/ 292553 h 557892"/>
                  <a:gd name="connsiteX3" fmla="*/ 1374321 w 1374321"/>
                  <a:gd name="connsiteY3" fmla="*/ 278946 h 557892"/>
                  <a:gd name="connsiteX4" fmla="*/ 1367518 w 1374321"/>
                  <a:gd name="connsiteY4" fmla="*/ 557892 h 557892"/>
                  <a:gd name="connsiteX0" fmla="*/ 0 w 1374321"/>
                  <a:gd name="connsiteY0" fmla="*/ 0 h 557892"/>
                  <a:gd name="connsiteX1" fmla="*/ 333375 w 1374321"/>
                  <a:gd name="connsiteY1" fmla="*/ 136071 h 557892"/>
                  <a:gd name="connsiteX2" fmla="*/ 673553 w 1374321"/>
                  <a:gd name="connsiteY2" fmla="*/ 292553 h 557892"/>
                  <a:gd name="connsiteX3" fmla="*/ 1374321 w 1374321"/>
                  <a:gd name="connsiteY3" fmla="*/ 278946 h 557892"/>
                  <a:gd name="connsiteX4" fmla="*/ 1367518 w 1374321"/>
                  <a:gd name="connsiteY4" fmla="*/ 557892 h 557892"/>
                  <a:gd name="connsiteX0" fmla="*/ 0 w 1381125"/>
                  <a:gd name="connsiteY0" fmla="*/ 0 h 564696"/>
                  <a:gd name="connsiteX1" fmla="*/ 340179 w 1381125"/>
                  <a:gd name="connsiteY1" fmla="*/ 142875 h 564696"/>
                  <a:gd name="connsiteX2" fmla="*/ 680357 w 1381125"/>
                  <a:gd name="connsiteY2" fmla="*/ 299357 h 564696"/>
                  <a:gd name="connsiteX3" fmla="*/ 1381125 w 1381125"/>
                  <a:gd name="connsiteY3" fmla="*/ 285750 h 564696"/>
                  <a:gd name="connsiteX4" fmla="*/ 1374322 w 1381125"/>
                  <a:gd name="connsiteY4" fmla="*/ 564696 h 564696"/>
                  <a:gd name="connsiteX0" fmla="*/ 0 w 1381125"/>
                  <a:gd name="connsiteY0" fmla="*/ 0 h 564696"/>
                  <a:gd name="connsiteX1" fmla="*/ 340179 w 1381125"/>
                  <a:gd name="connsiteY1" fmla="*/ 0 h 564696"/>
                  <a:gd name="connsiteX2" fmla="*/ 680357 w 1381125"/>
                  <a:gd name="connsiteY2" fmla="*/ 299357 h 564696"/>
                  <a:gd name="connsiteX3" fmla="*/ 1381125 w 1381125"/>
                  <a:gd name="connsiteY3" fmla="*/ 285750 h 564696"/>
                  <a:gd name="connsiteX4" fmla="*/ 1374322 w 1381125"/>
                  <a:gd name="connsiteY4" fmla="*/ 564696 h 564696"/>
                  <a:gd name="connsiteX0" fmla="*/ 0 w 1381125"/>
                  <a:gd name="connsiteY0" fmla="*/ 142875 h 564696"/>
                  <a:gd name="connsiteX1" fmla="*/ 340179 w 1381125"/>
                  <a:gd name="connsiteY1" fmla="*/ 0 h 564696"/>
                  <a:gd name="connsiteX2" fmla="*/ 680357 w 1381125"/>
                  <a:gd name="connsiteY2" fmla="*/ 299357 h 564696"/>
                  <a:gd name="connsiteX3" fmla="*/ 1381125 w 1381125"/>
                  <a:gd name="connsiteY3" fmla="*/ 285750 h 564696"/>
                  <a:gd name="connsiteX4" fmla="*/ 1374322 w 1381125"/>
                  <a:gd name="connsiteY4" fmla="*/ 564696 h 564696"/>
                  <a:gd name="connsiteX0" fmla="*/ 0 w 1381125"/>
                  <a:gd name="connsiteY0" fmla="*/ 142875 h 564696"/>
                  <a:gd name="connsiteX1" fmla="*/ 340179 w 1381125"/>
                  <a:gd name="connsiteY1" fmla="*/ 0 h 564696"/>
                  <a:gd name="connsiteX2" fmla="*/ 680357 w 1381125"/>
                  <a:gd name="connsiteY2" fmla="*/ 299357 h 564696"/>
                  <a:gd name="connsiteX3" fmla="*/ 1381125 w 1381125"/>
                  <a:gd name="connsiteY3" fmla="*/ 285750 h 564696"/>
                  <a:gd name="connsiteX4" fmla="*/ 1374322 w 1381125"/>
                  <a:gd name="connsiteY4" fmla="*/ 564696 h 564696"/>
                  <a:gd name="connsiteX0" fmla="*/ 0 w 1381125"/>
                  <a:gd name="connsiteY0" fmla="*/ 0 h 421821"/>
                  <a:gd name="connsiteX1" fmla="*/ 340179 w 1381125"/>
                  <a:gd name="connsiteY1" fmla="*/ 0 h 421821"/>
                  <a:gd name="connsiteX2" fmla="*/ 680357 w 1381125"/>
                  <a:gd name="connsiteY2" fmla="*/ 156482 h 421821"/>
                  <a:gd name="connsiteX3" fmla="*/ 1381125 w 1381125"/>
                  <a:gd name="connsiteY3" fmla="*/ 142875 h 421821"/>
                  <a:gd name="connsiteX4" fmla="*/ 1374322 w 1381125"/>
                  <a:gd name="connsiteY4" fmla="*/ 421821 h 421821"/>
                  <a:gd name="connsiteX0" fmla="*/ 0 w 1374322"/>
                  <a:gd name="connsiteY0" fmla="*/ 0 h 421821"/>
                  <a:gd name="connsiteX1" fmla="*/ 340179 w 1374322"/>
                  <a:gd name="connsiteY1" fmla="*/ 0 h 421821"/>
                  <a:gd name="connsiteX2" fmla="*/ 680357 w 1374322"/>
                  <a:gd name="connsiteY2" fmla="*/ 156482 h 421821"/>
                  <a:gd name="connsiteX3" fmla="*/ 1360715 w 1374322"/>
                  <a:gd name="connsiteY3" fmla="*/ 142875 h 421821"/>
                  <a:gd name="connsiteX4" fmla="*/ 1374322 w 1374322"/>
                  <a:gd name="connsiteY4" fmla="*/ 421821 h 421821"/>
                  <a:gd name="connsiteX0" fmla="*/ 0 w 1374322"/>
                  <a:gd name="connsiteY0" fmla="*/ 0 h 421821"/>
                  <a:gd name="connsiteX1" fmla="*/ 340179 w 1374322"/>
                  <a:gd name="connsiteY1" fmla="*/ 0 h 421821"/>
                  <a:gd name="connsiteX2" fmla="*/ 680357 w 1374322"/>
                  <a:gd name="connsiteY2" fmla="*/ 142875 h 421821"/>
                  <a:gd name="connsiteX3" fmla="*/ 1360715 w 1374322"/>
                  <a:gd name="connsiteY3" fmla="*/ 142875 h 421821"/>
                  <a:gd name="connsiteX4" fmla="*/ 1374322 w 1374322"/>
                  <a:gd name="connsiteY4" fmla="*/ 421821 h 421821"/>
                  <a:gd name="connsiteX0" fmla="*/ 0 w 1360715"/>
                  <a:gd name="connsiteY0" fmla="*/ 0 h 428625"/>
                  <a:gd name="connsiteX1" fmla="*/ 340179 w 1360715"/>
                  <a:gd name="connsiteY1" fmla="*/ 0 h 428625"/>
                  <a:gd name="connsiteX2" fmla="*/ 680357 w 1360715"/>
                  <a:gd name="connsiteY2" fmla="*/ 142875 h 428625"/>
                  <a:gd name="connsiteX3" fmla="*/ 1360715 w 1360715"/>
                  <a:gd name="connsiteY3" fmla="*/ 142875 h 428625"/>
                  <a:gd name="connsiteX4" fmla="*/ 1360715 w 1360715"/>
                  <a:gd name="connsiteY4" fmla="*/ 428625 h 428625"/>
                  <a:gd name="connsiteX0" fmla="*/ 0 w 1360715"/>
                  <a:gd name="connsiteY0" fmla="*/ 0 h 428625"/>
                  <a:gd name="connsiteX1" fmla="*/ 340179 w 1360715"/>
                  <a:gd name="connsiteY1" fmla="*/ 0 h 428625"/>
                  <a:gd name="connsiteX2" fmla="*/ 544287 w 1360715"/>
                  <a:gd name="connsiteY2" fmla="*/ 142875 h 428625"/>
                  <a:gd name="connsiteX3" fmla="*/ 1360715 w 1360715"/>
                  <a:gd name="connsiteY3" fmla="*/ 142875 h 428625"/>
                  <a:gd name="connsiteX4" fmla="*/ 1360715 w 1360715"/>
                  <a:gd name="connsiteY4" fmla="*/ 428625 h 42862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1360715" h="428625">
                    <a:moveTo>
                      <a:pt x="0" y="0"/>
                    </a:moveTo>
                    <a:lnTo>
                      <a:pt x="340179" y="0"/>
                    </a:lnTo>
                    <a:lnTo>
                      <a:pt x="544287" y="142875"/>
                    </a:lnTo>
                    <a:lnTo>
                      <a:pt x="1360715" y="142875"/>
                    </a:lnTo>
                    <a:lnTo>
                      <a:pt x="1360715" y="428625"/>
                    </a:lnTo>
                  </a:path>
                </a:pathLst>
              </a:custGeom>
              <a:noFill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sp macro="" textlink="">
          <xdr:nvSpPr>
            <xdr:cNvPr id="156" name="Rectangle 155">
              <a:extLst>
                <a:ext uri="{FF2B5EF4-FFF2-40B4-BE49-F238E27FC236}">
                  <a16:creationId xmlns:a16="http://schemas.microsoft.com/office/drawing/2014/main" id="{00000000-0008-0000-0100-00009C000000}"/>
                </a:ext>
              </a:extLst>
            </xdr:cNvPr>
            <xdr:cNvSpPr/>
          </xdr:nvSpPr>
          <xdr:spPr>
            <a:xfrm rot="16200000">
              <a:off x="2593732" y="30714461"/>
              <a:ext cx="353073" cy="14515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ctr"/>
              <a:r>
                <a:rPr lang="en-US" sz="1000">
                  <a:solidFill>
                    <a:schemeClr val="tx1"/>
                  </a:solidFill>
                </a:rPr>
                <a:t>123</a:t>
              </a:r>
            </a:p>
          </xdr:txBody>
        </xdr:sp>
        <xdr:sp macro="" textlink="">
          <xdr:nvSpPr>
            <xdr:cNvPr id="157" name="Rectangle 156">
              <a:extLst>
                <a:ext uri="{FF2B5EF4-FFF2-40B4-BE49-F238E27FC236}">
                  <a16:creationId xmlns:a16="http://schemas.microsoft.com/office/drawing/2014/main" id="{00000000-0008-0000-0100-00009D000000}"/>
                </a:ext>
              </a:extLst>
            </xdr:cNvPr>
            <xdr:cNvSpPr/>
          </xdr:nvSpPr>
          <xdr:spPr>
            <a:xfrm rot="5400000">
              <a:off x="608137" y="30707135"/>
              <a:ext cx="353073" cy="14515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ctr"/>
              <a:r>
                <a:rPr lang="en-US" sz="1000">
                  <a:solidFill>
                    <a:schemeClr val="tx1"/>
                  </a:solidFill>
                </a:rPr>
                <a:t>123</a:t>
              </a:r>
            </a:p>
          </xdr:txBody>
        </xdr:sp>
        <xdr:sp macro="" textlink="">
          <xdr:nvSpPr>
            <xdr:cNvPr id="158" name="Rectangle 157">
              <a:extLst>
                <a:ext uri="{FF2B5EF4-FFF2-40B4-BE49-F238E27FC236}">
                  <a16:creationId xmlns:a16="http://schemas.microsoft.com/office/drawing/2014/main" id="{00000000-0008-0000-0100-00009E000000}"/>
                </a:ext>
              </a:extLst>
            </xdr:cNvPr>
            <xdr:cNvSpPr/>
          </xdr:nvSpPr>
          <xdr:spPr>
            <a:xfrm>
              <a:off x="2198080" y="30773076"/>
              <a:ext cx="353073" cy="14515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ctr"/>
              <a:r>
                <a:rPr lang="en-US" sz="1000">
                  <a:solidFill>
                    <a:schemeClr val="tx1"/>
                  </a:solidFill>
                </a:rPr>
                <a:t>123</a:t>
              </a:r>
            </a:p>
          </xdr:txBody>
        </xdr:sp>
        <xdr:sp macro="" textlink="">
          <xdr:nvSpPr>
            <xdr:cNvPr id="159" name="Rectangle 158">
              <a:extLst>
                <a:ext uri="{FF2B5EF4-FFF2-40B4-BE49-F238E27FC236}">
                  <a16:creationId xmlns:a16="http://schemas.microsoft.com/office/drawing/2014/main" id="{00000000-0008-0000-0100-00009F000000}"/>
                </a:ext>
              </a:extLst>
            </xdr:cNvPr>
            <xdr:cNvSpPr/>
          </xdr:nvSpPr>
          <xdr:spPr>
            <a:xfrm>
              <a:off x="1099041" y="30707134"/>
              <a:ext cx="353073" cy="14515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ctr"/>
              <a:r>
                <a:rPr lang="en-US" sz="1000">
                  <a:solidFill>
                    <a:schemeClr val="tx1"/>
                  </a:solidFill>
                </a:rPr>
                <a:t>123</a:t>
              </a:r>
            </a:p>
          </xdr:txBody>
        </xdr:sp>
      </xdr:grpSp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100-00009A000000}"/>
              </a:ext>
            </a:extLst>
          </xdr:cNvPr>
          <xdr:cNvSpPr/>
        </xdr:nvSpPr>
        <xdr:spPr>
          <a:xfrm>
            <a:off x="1789154" y="31086753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219807</xdr:colOff>
      <xdr:row>8</xdr:row>
      <xdr:rowOff>190500</xdr:rowOff>
    </xdr:from>
    <xdr:to>
      <xdr:col>1</xdr:col>
      <xdr:colOff>2409175</xdr:colOff>
      <xdr:row>8</xdr:row>
      <xdr:rowOff>794237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GrpSpPr/>
      </xdr:nvGrpSpPr>
      <xdr:grpSpPr>
        <a:xfrm>
          <a:off x="842107" y="6483350"/>
          <a:ext cx="2189368" cy="603737"/>
          <a:chOff x="697440" y="31407588"/>
          <a:chExt cx="2189368" cy="603737"/>
        </a:xfrm>
      </xdr:grpSpPr>
      <xdr:grpSp>
        <xdr:nvGrpSpPr>
          <xdr:cNvPr id="163" name="Group 162">
            <a:extLst>
              <a:ext uri="{FF2B5EF4-FFF2-40B4-BE49-F238E27FC236}">
                <a16:creationId xmlns:a16="http://schemas.microsoft.com/office/drawing/2014/main" id="{00000000-0008-0000-0100-0000A3000000}"/>
              </a:ext>
            </a:extLst>
          </xdr:cNvPr>
          <xdr:cNvGrpSpPr/>
        </xdr:nvGrpSpPr>
        <xdr:grpSpPr>
          <a:xfrm>
            <a:off x="839455" y="31593692"/>
            <a:ext cx="1893487" cy="344365"/>
            <a:chOff x="1632858" y="703385"/>
            <a:chExt cx="2041070" cy="344365"/>
          </a:xfrm>
        </xdr:grpSpPr>
        <xdr:sp macro="" textlink="">
          <xdr:nvSpPr>
            <xdr:cNvPr id="169" name="Freeform 168">
              <a:extLst>
                <a:ext uri="{FF2B5EF4-FFF2-40B4-BE49-F238E27FC236}">
                  <a16:creationId xmlns:a16="http://schemas.microsoft.com/office/drawing/2014/main" id="{00000000-0008-0000-0100-0000A9000000}"/>
                </a:ext>
              </a:extLst>
            </xdr:cNvPr>
            <xdr:cNvSpPr/>
          </xdr:nvSpPr>
          <xdr:spPr>
            <a:xfrm>
              <a:off x="1632858" y="762000"/>
              <a:ext cx="1020535" cy="285750"/>
            </a:xfrm>
            <a:custGeom>
              <a:avLst/>
              <a:gdLst>
                <a:gd name="connsiteX0" fmla="*/ 0 w 1088572"/>
                <a:gd name="connsiteY0" fmla="*/ 278946 h 278946"/>
                <a:gd name="connsiteX1" fmla="*/ 6804 w 1088572"/>
                <a:gd name="connsiteY1" fmla="*/ 13607 h 278946"/>
                <a:gd name="connsiteX2" fmla="*/ 1027339 w 1088572"/>
                <a:gd name="connsiteY2" fmla="*/ 0 h 278946"/>
                <a:gd name="connsiteX3" fmla="*/ 1088572 w 1088572"/>
                <a:gd name="connsiteY3" fmla="*/ 122464 h 278946"/>
                <a:gd name="connsiteX0" fmla="*/ 0 w 1027339"/>
                <a:gd name="connsiteY0" fmla="*/ 278946 h 278946"/>
                <a:gd name="connsiteX1" fmla="*/ 6804 w 1027339"/>
                <a:gd name="connsiteY1" fmla="*/ 13607 h 278946"/>
                <a:gd name="connsiteX2" fmla="*/ 1027339 w 1027339"/>
                <a:gd name="connsiteY2" fmla="*/ 0 h 278946"/>
                <a:gd name="connsiteX0" fmla="*/ 0 w 1027339"/>
                <a:gd name="connsiteY0" fmla="*/ 285750 h 285750"/>
                <a:gd name="connsiteX1" fmla="*/ 1 w 1027339"/>
                <a:gd name="connsiteY1" fmla="*/ 0 h 285750"/>
                <a:gd name="connsiteX2" fmla="*/ 1027339 w 1027339"/>
                <a:gd name="connsiteY2" fmla="*/ 6804 h 285750"/>
                <a:gd name="connsiteX0" fmla="*/ 0 w 1027338"/>
                <a:gd name="connsiteY0" fmla="*/ 285750 h 285750"/>
                <a:gd name="connsiteX1" fmla="*/ 0 w 1027338"/>
                <a:gd name="connsiteY1" fmla="*/ 0 h 285750"/>
                <a:gd name="connsiteX2" fmla="*/ 1027338 w 1027338"/>
                <a:gd name="connsiteY2" fmla="*/ 6804 h 285750"/>
                <a:gd name="connsiteX0" fmla="*/ 0 w 680356"/>
                <a:gd name="connsiteY0" fmla="*/ 285750 h 285750"/>
                <a:gd name="connsiteX1" fmla="*/ 0 w 680356"/>
                <a:gd name="connsiteY1" fmla="*/ 0 h 285750"/>
                <a:gd name="connsiteX2" fmla="*/ 680356 w 680356"/>
                <a:gd name="connsiteY2" fmla="*/ 0 h 285750"/>
                <a:gd name="connsiteX0" fmla="*/ 0 w 1020535"/>
                <a:gd name="connsiteY0" fmla="*/ 285750 h 285750"/>
                <a:gd name="connsiteX1" fmla="*/ 0 w 1020535"/>
                <a:gd name="connsiteY1" fmla="*/ 0 h 285750"/>
                <a:gd name="connsiteX2" fmla="*/ 1020535 w 1020535"/>
                <a:gd name="connsiteY2" fmla="*/ 0 h 2857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1020535" h="285750">
                  <a:moveTo>
                    <a:pt x="0" y="285750"/>
                  </a:moveTo>
                  <a:lnTo>
                    <a:pt x="0" y="0"/>
                  </a:lnTo>
                  <a:lnTo>
                    <a:pt x="1020535" y="0"/>
                  </a:lnTo>
                </a:path>
              </a:pathLst>
            </a:cu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70" name="Freeform 169">
              <a:extLst>
                <a:ext uri="{FF2B5EF4-FFF2-40B4-BE49-F238E27FC236}">
                  <a16:creationId xmlns:a16="http://schemas.microsoft.com/office/drawing/2014/main" id="{00000000-0008-0000-0100-0000AA000000}"/>
                </a:ext>
              </a:extLst>
            </xdr:cNvPr>
            <xdr:cNvSpPr/>
          </xdr:nvSpPr>
          <xdr:spPr>
            <a:xfrm>
              <a:off x="2313213" y="703385"/>
              <a:ext cx="1360715" cy="344365"/>
            </a:xfrm>
            <a:custGeom>
              <a:avLst/>
              <a:gdLst>
                <a:gd name="connsiteX0" fmla="*/ 0 w 1374321"/>
                <a:gd name="connsiteY0" fmla="*/ 0 h 557892"/>
                <a:gd name="connsiteX1" fmla="*/ 340178 w 1374321"/>
                <a:gd name="connsiteY1" fmla="*/ 0 h 557892"/>
                <a:gd name="connsiteX2" fmla="*/ 673553 w 1374321"/>
                <a:gd name="connsiteY2" fmla="*/ 292553 h 557892"/>
                <a:gd name="connsiteX3" fmla="*/ 1374321 w 1374321"/>
                <a:gd name="connsiteY3" fmla="*/ 278946 h 557892"/>
                <a:gd name="connsiteX4" fmla="*/ 1367518 w 1374321"/>
                <a:gd name="connsiteY4" fmla="*/ 557892 h 557892"/>
                <a:gd name="connsiteX0" fmla="*/ 0 w 1374321"/>
                <a:gd name="connsiteY0" fmla="*/ 0 h 557892"/>
                <a:gd name="connsiteX1" fmla="*/ 333375 w 1374321"/>
                <a:gd name="connsiteY1" fmla="*/ 136071 h 557892"/>
                <a:gd name="connsiteX2" fmla="*/ 673553 w 1374321"/>
                <a:gd name="connsiteY2" fmla="*/ 292553 h 557892"/>
                <a:gd name="connsiteX3" fmla="*/ 1374321 w 1374321"/>
                <a:gd name="connsiteY3" fmla="*/ 278946 h 557892"/>
                <a:gd name="connsiteX4" fmla="*/ 1367518 w 1374321"/>
                <a:gd name="connsiteY4" fmla="*/ 557892 h 557892"/>
                <a:gd name="connsiteX0" fmla="*/ 0 w 1381125"/>
                <a:gd name="connsiteY0" fmla="*/ 0 h 564696"/>
                <a:gd name="connsiteX1" fmla="*/ 340179 w 1381125"/>
                <a:gd name="connsiteY1" fmla="*/ 142875 h 564696"/>
                <a:gd name="connsiteX2" fmla="*/ 680357 w 1381125"/>
                <a:gd name="connsiteY2" fmla="*/ 299357 h 564696"/>
                <a:gd name="connsiteX3" fmla="*/ 1381125 w 1381125"/>
                <a:gd name="connsiteY3" fmla="*/ 285750 h 564696"/>
                <a:gd name="connsiteX4" fmla="*/ 1374322 w 1381125"/>
                <a:gd name="connsiteY4" fmla="*/ 564696 h 564696"/>
                <a:gd name="connsiteX0" fmla="*/ 0 w 1381125"/>
                <a:gd name="connsiteY0" fmla="*/ 0 h 564696"/>
                <a:gd name="connsiteX1" fmla="*/ 340179 w 1381125"/>
                <a:gd name="connsiteY1" fmla="*/ 0 h 564696"/>
                <a:gd name="connsiteX2" fmla="*/ 680357 w 1381125"/>
                <a:gd name="connsiteY2" fmla="*/ 299357 h 564696"/>
                <a:gd name="connsiteX3" fmla="*/ 1381125 w 1381125"/>
                <a:gd name="connsiteY3" fmla="*/ 285750 h 564696"/>
                <a:gd name="connsiteX4" fmla="*/ 1374322 w 1381125"/>
                <a:gd name="connsiteY4" fmla="*/ 564696 h 564696"/>
                <a:gd name="connsiteX0" fmla="*/ 0 w 1381125"/>
                <a:gd name="connsiteY0" fmla="*/ 142875 h 564696"/>
                <a:gd name="connsiteX1" fmla="*/ 340179 w 1381125"/>
                <a:gd name="connsiteY1" fmla="*/ 0 h 564696"/>
                <a:gd name="connsiteX2" fmla="*/ 680357 w 1381125"/>
                <a:gd name="connsiteY2" fmla="*/ 299357 h 564696"/>
                <a:gd name="connsiteX3" fmla="*/ 1381125 w 1381125"/>
                <a:gd name="connsiteY3" fmla="*/ 285750 h 564696"/>
                <a:gd name="connsiteX4" fmla="*/ 1374322 w 1381125"/>
                <a:gd name="connsiteY4" fmla="*/ 564696 h 564696"/>
                <a:gd name="connsiteX0" fmla="*/ 0 w 1381125"/>
                <a:gd name="connsiteY0" fmla="*/ 142875 h 564696"/>
                <a:gd name="connsiteX1" fmla="*/ 340179 w 1381125"/>
                <a:gd name="connsiteY1" fmla="*/ 0 h 564696"/>
                <a:gd name="connsiteX2" fmla="*/ 680357 w 1381125"/>
                <a:gd name="connsiteY2" fmla="*/ 299357 h 564696"/>
                <a:gd name="connsiteX3" fmla="*/ 1381125 w 1381125"/>
                <a:gd name="connsiteY3" fmla="*/ 285750 h 564696"/>
                <a:gd name="connsiteX4" fmla="*/ 1374322 w 1381125"/>
                <a:gd name="connsiteY4" fmla="*/ 564696 h 564696"/>
                <a:gd name="connsiteX0" fmla="*/ 0 w 1381125"/>
                <a:gd name="connsiteY0" fmla="*/ 0 h 421821"/>
                <a:gd name="connsiteX1" fmla="*/ 340179 w 1381125"/>
                <a:gd name="connsiteY1" fmla="*/ 0 h 421821"/>
                <a:gd name="connsiteX2" fmla="*/ 680357 w 1381125"/>
                <a:gd name="connsiteY2" fmla="*/ 156482 h 421821"/>
                <a:gd name="connsiteX3" fmla="*/ 1381125 w 1381125"/>
                <a:gd name="connsiteY3" fmla="*/ 142875 h 421821"/>
                <a:gd name="connsiteX4" fmla="*/ 1374322 w 1381125"/>
                <a:gd name="connsiteY4" fmla="*/ 421821 h 421821"/>
                <a:gd name="connsiteX0" fmla="*/ 0 w 1374322"/>
                <a:gd name="connsiteY0" fmla="*/ 0 h 421821"/>
                <a:gd name="connsiteX1" fmla="*/ 340179 w 1374322"/>
                <a:gd name="connsiteY1" fmla="*/ 0 h 421821"/>
                <a:gd name="connsiteX2" fmla="*/ 680357 w 1374322"/>
                <a:gd name="connsiteY2" fmla="*/ 156482 h 421821"/>
                <a:gd name="connsiteX3" fmla="*/ 1360715 w 1374322"/>
                <a:gd name="connsiteY3" fmla="*/ 142875 h 421821"/>
                <a:gd name="connsiteX4" fmla="*/ 1374322 w 1374322"/>
                <a:gd name="connsiteY4" fmla="*/ 421821 h 421821"/>
                <a:gd name="connsiteX0" fmla="*/ 0 w 1374322"/>
                <a:gd name="connsiteY0" fmla="*/ 0 h 421821"/>
                <a:gd name="connsiteX1" fmla="*/ 340179 w 1374322"/>
                <a:gd name="connsiteY1" fmla="*/ 0 h 421821"/>
                <a:gd name="connsiteX2" fmla="*/ 680357 w 1374322"/>
                <a:gd name="connsiteY2" fmla="*/ 142875 h 421821"/>
                <a:gd name="connsiteX3" fmla="*/ 1360715 w 1374322"/>
                <a:gd name="connsiteY3" fmla="*/ 142875 h 421821"/>
                <a:gd name="connsiteX4" fmla="*/ 1374322 w 1374322"/>
                <a:gd name="connsiteY4" fmla="*/ 421821 h 421821"/>
                <a:gd name="connsiteX0" fmla="*/ 0 w 1360715"/>
                <a:gd name="connsiteY0" fmla="*/ 0 h 428625"/>
                <a:gd name="connsiteX1" fmla="*/ 340179 w 1360715"/>
                <a:gd name="connsiteY1" fmla="*/ 0 h 428625"/>
                <a:gd name="connsiteX2" fmla="*/ 680357 w 1360715"/>
                <a:gd name="connsiteY2" fmla="*/ 142875 h 428625"/>
                <a:gd name="connsiteX3" fmla="*/ 1360715 w 1360715"/>
                <a:gd name="connsiteY3" fmla="*/ 142875 h 428625"/>
                <a:gd name="connsiteX4" fmla="*/ 1360715 w 1360715"/>
                <a:gd name="connsiteY4" fmla="*/ 428625 h 428625"/>
                <a:gd name="connsiteX0" fmla="*/ 0 w 1360715"/>
                <a:gd name="connsiteY0" fmla="*/ 0 h 428625"/>
                <a:gd name="connsiteX1" fmla="*/ 340179 w 1360715"/>
                <a:gd name="connsiteY1" fmla="*/ 0 h 428625"/>
                <a:gd name="connsiteX2" fmla="*/ 544287 w 1360715"/>
                <a:gd name="connsiteY2" fmla="*/ 142875 h 428625"/>
                <a:gd name="connsiteX3" fmla="*/ 1360715 w 1360715"/>
                <a:gd name="connsiteY3" fmla="*/ 142875 h 428625"/>
                <a:gd name="connsiteX4" fmla="*/ 1360715 w 1360715"/>
                <a:gd name="connsiteY4" fmla="*/ 428625 h 4286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360715" h="428625">
                  <a:moveTo>
                    <a:pt x="0" y="0"/>
                  </a:moveTo>
                  <a:lnTo>
                    <a:pt x="340179" y="0"/>
                  </a:lnTo>
                  <a:lnTo>
                    <a:pt x="544287" y="142875"/>
                  </a:lnTo>
                  <a:lnTo>
                    <a:pt x="1360715" y="142875"/>
                  </a:lnTo>
                  <a:lnTo>
                    <a:pt x="1360715" y="428625"/>
                  </a:lnTo>
                </a:path>
              </a:pathLst>
            </a:cu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164" name="Rectangle 163">
            <a:extLst>
              <a:ext uri="{FF2B5EF4-FFF2-40B4-BE49-F238E27FC236}">
                <a16:creationId xmlns:a16="http://schemas.microsoft.com/office/drawing/2014/main" id="{00000000-0008-0000-0100-0000A4000000}"/>
              </a:ext>
            </a:extLst>
          </xdr:cNvPr>
          <xdr:cNvSpPr/>
        </xdr:nvSpPr>
        <xdr:spPr>
          <a:xfrm>
            <a:off x="967154" y="31710923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65" name="Rectangle 164">
            <a:extLst>
              <a:ext uri="{FF2B5EF4-FFF2-40B4-BE49-F238E27FC236}">
                <a16:creationId xmlns:a16="http://schemas.microsoft.com/office/drawing/2014/main" id="{00000000-0008-0000-0100-0000A5000000}"/>
              </a:ext>
            </a:extLst>
          </xdr:cNvPr>
          <xdr:cNvSpPr/>
        </xdr:nvSpPr>
        <xdr:spPr>
          <a:xfrm>
            <a:off x="2211265" y="31731439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100-0000A6000000}"/>
              </a:ext>
            </a:extLst>
          </xdr:cNvPr>
          <xdr:cNvSpPr/>
        </xdr:nvSpPr>
        <xdr:spPr>
          <a:xfrm>
            <a:off x="1491762" y="31407588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67" name="Rectangle 166">
            <a:extLst>
              <a:ext uri="{FF2B5EF4-FFF2-40B4-BE49-F238E27FC236}">
                <a16:creationId xmlns:a16="http://schemas.microsoft.com/office/drawing/2014/main" id="{00000000-0008-0000-0100-0000A7000000}"/>
              </a:ext>
            </a:extLst>
          </xdr:cNvPr>
          <xdr:cNvSpPr/>
        </xdr:nvSpPr>
        <xdr:spPr>
          <a:xfrm rot="5400000">
            <a:off x="593481" y="31725578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68" name="Rectangle 167">
            <a:extLst>
              <a:ext uri="{FF2B5EF4-FFF2-40B4-BE49-F238E27FC236}">
                <a16:creationId xmlns:a16="http://schemas.microsoft.com/office/drawing/2014/main" id="{00000000-0008-0000-0100-0000A8000000}"/>
              </a:ext>
            </a:extLst>
          </xdr:cNvPr>
          <xdr:cNvSpPr/>
        </xdr:nvSpPr>
        <xdr:spPr>
          <a:xfrm rot="16200000">
            <a:off x="2637693" y="31762211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351691</xdr:colOff>
      <xdr:row>9</xdr:row>
      <xdr:rowOff>139211</xdr:rowOff>
    </xdr:from>
    <xdr:to>
      <xdr:col>1</xdr:col>
      <xdr:colOff>2123347</xdr:colOff>
      <xdr:row>9</xdr:row>
      <xdr:rowOff>665283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GrpSpPr/>
      </xdr:nvGrpSpPr>
      <xdr:grpSpPr>
        <a:xfrm>
          <a:off x="973991" y="7270261"/>
          <a:ext cx="1771656" cy="526072"/>
          <a:chOff x="895348" y="14756423"/>
          <a:chExt cx="1771656" cy="526072"/>
        </a:xfrm>
      </xdr:grpSpPr>
      <xdr:sp macro="" textlink="">
        <xdr:nvSpPr>
          <xdr:cNvPr id="172" name="Freeform 171">
            <a:extLst>
              <a:ext uri="{FF2B5EF4-FFF2-40B4-BE49-F238E27FC236}">
                <a16:creationId xmlns:a16="http://schemas.microsoft.com/office/drawing/2014/main" id="{00000000-0008-0000-0100-0000AC000000}"/>
              </a:ext>
            </a:extLst>
          </xdr:cNvPr>
          <xdr:cNvSpPr/>
        </xdr:nvSpPr>
        <xdr:spPr>
          <a:xfrm>
            <a:off x="895348" y="14919814"/>
            <a:ext cx="1515209" cy="285750"/>
          </a:xfrm>
          <a:custGeom>
            <a:avLst/>
            <a:gdLst>
              <a:gd name="connsiteX0" fmla="*/ 1724025 w 2390775"/>
              <a:gd name="connsiteY0" fmla="*/ 552450 h 561975"/>
              <a:gd name="connsiteX1" fmla="*/ 2381250 w 2390775"/>
              <a:gd name="connsiteY1" fmla="*/ 561975 h 561975"/>
              <a:gd name="connsiteX2" fmla="*/ 2390775 w 2390775"/>
              <a:gd name="connsiteY2" fmla="*/ 0 h 561975"/>
              <a:gd name="connsiteX3" fmla="*/ 1028700 w 2390775"/>
              <a:gd name="connsiteY3" fmla="*/ 0 h 561975"/>
              <a:gd name="connsiteX4" fmla="*/ 676275 w 2390775"/>
              <a:gd name="connsiteY4" fmla="*/ 542925 h 561975"/>
              <a:gd name="connsiteX5" fmla="*/ 0 w 2390775"/>
              <a:gd name="connsiteY5" fmla="*/ 552450 h 561975"/>
              <a:gd name="connsiteX0" fmla="*/ 1714500 w 2390775"/>
              <a:gd name="connsiteY0" fmla="*/ 552450 h 561975"/>
              <a:gd name="connsiteX1" fmla="*/ 2381250 w 2390775"/>
              <a:gd name="connsiteY1" fmla="*/ 561975 h 561975"/>
              <a:gd name="connsiteX2" fmla="*/ 2390775 w 2390775"/>
              <a:gd name="connsiteY2" fmla="*/ 0 h 561975"/>
              <a:gd name="connsiteX3" fmla="*/ 1028700 w 2390775"/>
              <a:gd name="connsiteY3" fmla="*/ 0 h 561975"/>
              <a:gd name="connsiteX4" fmla="*/ 676275 w 2390775"/>
              <a:gd name="connsiteY4" fmla="*/ 542925 h 561975"/>
              <a:gd name="connsiteX5" fmla="*/ 0 w 2390775"/>
              <a:gd name="connsiteY5" fmla="*/ 552450 h 561975"/>
              <a:gd name="connsiteX0" fmla="*/ 1714500 w 2400300"/>
              <a:gd name="connsiteY0" fmla="*/ 552450 h 552450"/>
              <a:gd name="connsiteX1" fmla="*/ 2400300 w 2400300"/>
              <a:gd name="connsiteY1" fmla="*/ 552450 h 552450"/>
              <a:gd name="connsiteX2" fmla="*/ 2390775 w 2400300"/>
              <a:gd name="connsiteY2" fmla="*/ 0 h 552450"/>
              <a:gd name="connsiteX3" fmla="*/ 1028700 w 2400300"/>
              <a:gd name="connsiteY3" fmla="*/ 0 h 552450"/>
              <a:gd name="connsiteX4" fmla="*/ 676275 w 2400300"/>
              <a:gd name="connsiteY4" fmla="*/ 542925 h 552450"/>
              <a:gd name="connsiteX5" fmla="*/ 0 w 2400300"/>
              <a:gd name="connsiteY5" fmla="*/ 552450 h 552450"/>
              <a:gd name="connsiteX0" fmla="*/ 1714500 w 2400300"/>
              <a:gd name="connsiteY0" fmla="*/ 571500 h 571500"/>
              <a:gd name="connsiteX1" fmla="*/ 2400300 w 2400300"/>
              <a:gd name="connsiteY1" fmla="*/ 571500 h 571500"/>
              <a:gd name="connsiteX2" fmla="*/ 2400299 w 2400300"/>
              <a:gd name="connsiteY2" fmla="*/ 0 h 571500"/>
              <a:gd name="connsiteX3" fmla="*/ 1028700 w 2400300"/>
              <a:gd name="connsiteY3" fmla="*/ 19050 h 571500"/>
              <a:gd name="connsiteX4" fmla="*/ 676275 w 2400300"/>
              <a:gd name="connsiteY4" fmla="*/ 561975 h 571500"/>
              <a:gd name="connsiteX5" fmla="*/ 0 w 2400300"/>
              <a:gd name="connsiteY5" fmla="*/ 571500 h 571500"/>
              <a:gd name="connsiteX0" fmla="*/ 1714500 w 2400300"/>
              <a:gd name="connsiteY0" fmla="*/ 571500 h 571500"/>
              <a:gd name="connsiteX1" fmla="*/ 2400300 w 2400300"/>
              <a:gd name="connsiteY1" fmla="*/ 571500 h 571500"/>
              <a:gd name="connsiteX2" fmla="*/ 2400299 w 2400300"/>
              <a:gd name="connsiteY2" fmla="*/ 0 h 571500"/>
              <a:gd name="connsiteX3" fmla="*/ 1028699 w 2400300"/>
              <a:gd name="connsiteY3" fmla="*/ 0 h 571500"/>
              <a:gd name="connsiteX4" fmla="*/ 676275 w 2400300"/>
              <a:gd name="connsiteY4" fmla="*/ 561975 h 571500"/>
              <a:gd name="connsiteX5" fmla="*/ 0 w 2400300"/>
              <a:gd name="connsiteY5" fmla="*/ 571500 h 571500"/>
              <a:gd name="connsiteX0" fmla="*/ 1714500 w 2400300"/>
              <a:gd name="connsiteY0" fmla="*/ 571500 h 571500"/>
              <a:gd name="connsiteX1" fmla="*/ 2400300 w 2400300"/>
              <a:gd name="connsiteY1" fmla="*/ 571500 h 571500"/>
              <a:gd name="connsiteX2" fmla="*/ 2400299 w 2400300"/>
              <a:gd name="connsiteY2" fmla="*/ 0 h 571500"/>
              <a:gd name="connsiteX3" fmla="*/ 1028699 w 2400300"/>
              <a:gd name="connsiteY3" fmla="*/ 0 h 571500"/>
              <a:gd name="connsiteX4" fmla="*/ 685799 w 2400300"/>
              <a:gd name="connsiteY4" fmla="*/ 571500 h 571500"/>
              <a:gd name="connsiteX5" fmla="*/ 0 w 2400300"/>
              <a:gd name="connsiteY5" fmla="*/ 571500 h 571500"/>
              <a:gd name="connsiteX0" fmla="*/ 1714501 w 2400301"/>
              <a:gd name="connsiteY0" fmla="*/ 571500 h 571500"/>
              <a:gd name="connsiteX1" fmla="*/ 2400301 w 2400301"/>
              <a:gd name="connsiteY1" fmla="*/ 571500 h 571500"/>
              <a:gd name="connsiteX2" fmla="*/ 2400300 w 2400301"/>
              <a:gd name="connsiteY2" fmla="*/ 0 h 571500"/>
              <a:gd name="connsiteX3" fmla="*/ 1028700 w 2400301"/>
              <a:gd name="connsiteY3" fmla="*/ 0 h 571500"/>
              <a:gd name="connsiteX4" fmla="*/ 685800 w 2400301"/>
              <a:gd name="connsiteY4" fmla="*/ 571500 h 571500"/>
              <a:gd name="connsiteX5" fmla="*/ 0 w 2400301"/>
              <a:gd name="connsiteY5" fmla="*/ 571500 h 571500"/>
              <a:gd name="connsiteX0" fmla="*/ 1714501 w 2400301"/>
              <a:gd name="connsiteY0" fmla="*/ 552450 h 571500"/>
              <a:gd name="connsiteX1" fmla="*/ 2400301 w 2400301"/>
              <a:gd name="connsiteY1" fmla="*/ 571500 h 571500"/>
              <a:gd name="connsiteX2" fmla="*/ 2400300 w 2400301"/>
              <a:gd name="connsiteY2" fmla="*/ 0 h 571500"/>
              <a:gd name="connsiteX3" fmla="*/ 1028700 w 2400301"/>
              <a:gd name="connsiteY3" fmla="*/ 0 h 571500"/>
              <a:gd name="connsiteX4" fmla="*/ 685800 w 2400301"/>
              <a:gd name="connsiteY4" fmla="*/ 571500 h 571500"/>
              <a:gd name="connsiteX5" fmla="*/ 0 w 2400301"/>
              <a:gd name="connsiteY5" fmla="*/ 571500 h 571500"/>
              <a:gd name="connsiteX0" fmla="*/ 2400301 w 2400301"/>
              <a:gd name="connsiteY0" fmla="*/ 571500 h 571500"/>
              <a:gd name="connsiteX1" fmla="*/ 2400300 w 2400301"/>
              <a:gd name="connsiteY1" fmla="*/ 0 h 571500"/>
              <a:gd name="connsiteX2" fmla="*/ 1028700 w 2400301"/>
              <a:gd name="connsiteY2" fmla="*/ 0 h 571500"/>
              <a:gd name="connsiteX3" fmla="*/ 685800 w 2400301"/>
              <a:gd name="connsiteY3" fmla="*/ 571500 h 571500"/>
              <a:gd name="connsiteX4" fmla="*/ 0 w 2400301"/>
              <a:gd name="connsiteY4" fmla="*/ 571500 h 5715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400301" h="571500">
                <a:moveTo>
                  <a:pt x="2400301" y="571500"/>
                </a:moveTo>
                <a:cubicBezTo>
                  <a:pt x="2400301" y="381000"/>
                  <a:pt x="2400300" y="190500"/>
                  <a:pt x="2400300" y="0"/>
                </a:cubicBezTo>
                <a:lnTo>
                  <a:pt x="1028700" y="0"/>
                </a:lnTo>
                <a:lnTo>
                  <a:pt x="685800" y="571500"/>
                </a:lnTo>
                <a:lnTo>
                  <a:pt x="0" y="57150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3" name="Rectangle 172">
            <a:extLst>
              <a:ext uri="{FF2B5EF4-FFF2-40B4-BE49-F238E27FC236}">
                <a16:creationId xmlns:a16="http://schemas.microsoft.com/office/drawing/2014/main" id="{00000000-0008-0000-0100-0000AD000000}"/>
              </a:ext>
            </a:extLst>
          </xdr:cNvPr>
          <xdr:cNvSpPr/>
        </xdr:nvSpPr>
        <xdr:spPr>
          <a:xfrm rot="16200000">
            <a:off x="2410560" y="14946921"/>
            <a:ext cx="278423" cy="2344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74" name="Rectangle 173">
            <a:extLst>
              <a:ext uri="{FF2B5EF4-FFF2-40B4-BE49-F238E27FC236}">
                <a16:creationId xmlns:a16="http://schemas.microsoft.com/office/drawing/2014/main" id="{00000000-0008-0000-0100-0000AE000000}"/>
              </a:ext>
            </a:extLst>
          </xdr:cNvPr>
          <xdr:cNvSpPr/>
        </xdr:nvSpPr>
        <xdr:spPr>
          <a:xfrm>
            <a:off x="1787769" y="14756423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100-0000AF000000}"/>
              </a:ext>
            </a:extLst>
          </xdr:cNvPr>
          <xdr:cNvSpPr/>
        </xdr:nvSpPr>
        <xdr:spPr>
          <a:xfrm>
            <a:off x="943707" y="15040708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76" name="Rectangle 175">
            <a:extLst>
              <a:ext uri="{FF2B5EF4-FFF2-40B4-BE49-F238E27FC236}">
                <a16:creationId xmlns:a16="http://schemas.microsoft.com/office/drawing/2014/main" id="{00000000-0008-0000-0100-0000B0000000}"/>
              </a:ext>
            </a:extLst>
          </xdr:cNvPr>
          <xdr:cNvSpPr/>
        </xdr:nvSpPr>
        <xdr:spPr>
          <a:xfrm rot="18346724">
            <a:off x="1354015" y="15033381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307731</xdr:colOff>
      <xdr:row>10</xdr:row>
      <xdr:rowOff>175846</xdr:rowOff>
    </xdr:from>
    <xdr:to>
      <xdr:col>1</xdr:col>
      <xdr:colOff>2047145</xdr:colOff>
      <xdr:row>10</xdr:row>
      <xdr:rowOff>751825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GrpSpPr/>
      </xdr:nvGrpSpPr>
      <xdr:grpSpPr>
        <a:xfrm>
          <a:off x="930031" y="8145096"/>
          <a:ext cx="1739414" cy="575979"/>
          <a:chOff x="829406" y="15591692"/>
          <a:chExt cx="1739414" cy="575979"/>
        </a:xfrm>
      </xdr:grpSpPr>
      <xdr:sp macro="" textlink="">
        <xdr:nvSpPr>
          <xdr:cNvPr id="178" name="Freeform 177">
            <a:extLst>
              <a:ext uri="{FF2B5EF4-FFF2-40B4-BE49-F238E27FC236}">
                <a16:creationId xmlns:a16="http://schemas.microsoft.com/office/drawing/2014/main" id="{00000000-0008-0000-0100-0000B2000000}"/>
              </a:ext>
            </a:extLst>
          </xdr:cNvPr>
          <xdr:cNvSpPr/>
        </xdr:nvSpPr>
        <xdr:spPr>
          <a:xfrm>
            <a:off x="829406" y="15738231"/>
            <a:ext cx="1573825" cy="285750"/>
          </a:xfrm>
          <a:custGeom>
            <a:avLst/>
            <a:gdLst>
              <a:gd name="connsiteX0" fmla="*/ 1724025 w 2390775"/>
              <a:gd name="connsiteY0" fmla="*/ 552450 h 561975"/>
              <a:gd name="connsiteX1" fmla="*/ 2381250 w 2390775"/>
              <a:gd name="connsiteY1" fmla="*/ 561975 h 561975"/>
              <a:gd name="connsiteX2" fmla="*/ 2390775 w 2390775"/>
              <a:gd name="connsiteY2" fmla="*/ 0 h 561975"/>
              <a:gd name="connsiteX3" fmla="*/ 1028700 w 2390775"/>
              <a:gd name="connsiteY3" fmla="*/ 0 h 561975"/>
              <a:gd name="connsiteX4" fmla="*/ 676275 w 2390775"/>
              <a:gd name="connsiteY4" fmla="*/ 542925 h 561975"/>
              <a:gd name="connsiteX5" fmla="*/ 0 w 2390775"/>
              <a:gd name="connsiteY5" fmla="*/ 552450 h 561975"/>
              <a:gd name="connsiteX0" fmla="*/ 1714500 w 2390775"/>
              <a:gd name="connsiteY0" fmla="*/ 552450 h 561975"/>
              <a:gd name="connsiteX1" fmla="*/ 2381250 w 2390775"/>
              <a:gd name="connsiteY1" fmla="*/ 561975 h 561975"/>
              <a:gd name="connsiteX2" fmla="*/ 2390775 w 2390775"/>
              <a:gd name="connsiteY2" fmla="*/ 0 h 561975"/>
              <a:gd name="connsiteX3" fmla="*/ 1028700 w 2390775"/>
              <a:gd name="connsiteY3" fmla="*/ 0 h 561975"/>
              <a:gd name="connsiteX4" fmla="*/ 676275 w 2390775"/>
              <a:gd name="connsiteY4" fmla="*/ 542925 h 561975"/>
              <a:gd name="connsiteX5" fmla="*/ 0 w 2390775"/>
              <a:gd name="connsiteY5" fmla="*/ 552450 h 561975"/>
              <a:gd name="connsiteX0" fmla="*/ 1714500 w 2400300"/>
              <a:gd name="connsiteY0" fmla="*/ 552450 h 552450"/>
              <a:gd name="connsiteX1" fmla="*/ 2400300 w 2400300"/>
              <a:gd name="connsiteY1" fmla="*/ 552450 h 552450"/>
              <a:gd name="connsiteX2" fmla="*/ 2390775 w 2400300"/>
              <a:gd name="connsiteY2" fmla="*/ 0 h 552450"/>
              <a:gd name="connsiteX3" fmla="*/ 1028700 w 2400300"/>
              <a:gd name="connsiteY3" fmla="*/ 0 h 552450"/>
              <a:gd name="connsiteX4" fmla="*/ 676275 w 2400300"/>
              <a:gd name="connsiteY4" fmla="*/ 542925 h 552450"/>
              <a:gd name="connsiteX5" fmla="*/ 0 w 2400300"/>
              <a:gd name="connsiteY5" fmla="*/ 552450 h 552450"/>
              <a:gd name="connsiteX0" fmla="*/ 1714500 w 2400300"/>
              <a:gd name="connsiteY0" fmla="*/ 571500 h 571500"/>
              <a:gd name="connsiteX1" fmla="*/ 2400300 w 2400300"/>
              <a:gd name="connsiteY1" fmla="*/ 571500 h 571500"/>
              <a:gd name="connsiteX2" fmla="*/ 2400299 w 2400300"/>
              <a:gd name="connsiteY2" fmla="*/ 0 h 571500"/>
              <a:gd name="connsiteX3" fmla="*/ 1028700 w 2400300"/>
              <a:gd name="connsiteY3" fmla="*/ 19050 h 571500"/>
              <a:gd name="connsiteX4" fmla="*/ 676275 w 2400300"/>
              <a:gd name="connsiteY4" fmla="*/ 561975 h 571500"/>
              <a:gd name="connsiteX5" fmla="*/ 0 w 2400300"/>
              <a:gd name="connsiteY5" fmla="*/ 571500 h 571500"/>
              <a:gd name="connsiteX0" fmla="*/ 1714500 w 2400300"/>
              <a:gd name="connsiteY0" fmla="*/ 571500 h 571500"/>
              <a:gd name="connsiteX1" fmla="*/ 2400300 w 2400300"/>
              <a:gd name="connsiteY1" fmla="*/ 571500 h 571500"/>
              <a:gd name="connsiteX2" fmla="*/ 2400299 w 2400300"/>
              <a:gd name="connsiteY2" fmla="*/ 0 h 571500"/>
              <a:gd name="connsiteX3" fmla="*/ 1028699 w 2400300"/>
              <a:gd name="connsiteY3" fmla="*/ 0 h 571500"/>
              <a:gd name="connsiteX4" fmla="*/ 676275 w 2400300"/>
              <a:gd name="connsiteY4" fmla="*/ 561975 h 571500"/>
              <a:gd name="connsiteX5" fmla="*/ 0 w 2400300"/>
              <a:gd name="connsiteY5" fmla="*/ 571500 h 571500"/>
              <a:gd name="connsiteX0" fmla="*/ 1714500 w 2400300"/>
              <a:gd name="connsiteY0" fmla="*/ 571500 h 571500"/>
              <a:gd name="connsiteX1" fmla="*/ 2400300 w 2400300"/>
              <a:gd name="connsiteY1" fmla="*/ 571500 h 571500"/>
              <a:gd name="connsiteX2" fmla="*/ 2400299 w 2400300"/>
              <a:gd name="connsiteY2" fmla="*/ 0 h 571500"/>
              <a:gd name="connsiteX3" fmla="*/ 1028699 w 2400300"/>
              <a:gd name="connsiteY3" fmla="*/ 0 h 571500"/>
              <a:gd name="connsiteX4" fmla="*/ 685799 w 2400300"/>
              <a:gd name="connsiteY4" fmla="*/ 571500 h 571500"/>
              <a:gd name="connsiteX5" fmla="*/ 0 w 2400300"/>
              <a:gd name="connsiteY5" fmla="*/ 571500 h 571500"/>
              <a:gd name="connsiteX0" fmla="*/ 1714501 w 2400301"/>
              <a:gd name="connsiteY0" fmla="*/ 571500 h 571500"/>
              <a:gd name="connsiteX1" fmla="*/ 2400301 w 2400301"/>
              <a:gd name="connsiteY1" fmla="*/ 571500 h 571500"/>
              <a:gd name="connsiteX2" fmla="*/ 2400300 w 2400301"/>
              <a:gd name="connsiteY2" fmla="*/ 0 h 571500"/>
              <a:gd name="connsiteX3" fmla="*/ 1028700 w 2400301"/>
              <a:gd name="connsiteY3" fmla="*/ 0 h 571500"/>
              <a:gd name="connsiteX4" fmla="*/ 685800 w 2400301"/>
              <a:gd name="connsiteY4" fmla="*/ 571500 h 571500"/>
              <a:gd name="connsiteX5" fmla="*/ 0 w 2400301"/>
              <a:gd name="connsiteY5" fmla="*/ 571500 h 5715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2400301" h="571500">
                <a:moveTo>
                  <a:pt x="1714501" y="571500"/>
                </a:moveTo>
                <a:lnTo>
                  <a:pt x="2400301" y="571500"/>
                </a:lnTo>
                <a:cubicBezTo>
                  <a:pt x="2400301" y="381000"/>
                  <a:pt x="2400300" y="190500"/>
                  <a:pt x="2400300" y="0"/>
                </a:cubicBezTo>
                <a:lnTo>
                  <a:pt x="1028700" y="0"/>
                </a:lnTo>
                <a:lnTo>
                  <a:pt x="685800" y="571500"/>
                </a:lnTo>
                <a:lnTo>
                  <a:pt x="0" y="57150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9" name="Rectangle 178">
            <a:extLst>
              <a:ext uri="{FF2B5EF4-FFF2-40B4-BE49-F238E27FC236}">
                <a16:creationId xmlns:a16="http://schemas.microsoft.com/office/drawing/2014/main" id="{00000000-0008-0000-0100-0000B3000000}"/>
              </a:ext>
            </a:extLst>
          </xdr:cNvPr>
          <xdr:cNvSpPr/>
        </xdr:nvSpPr>
        <xdr:spPr>
          <a:xfrm>
            <a:off x="1773115" y="15591692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80" name="Rectangle 179">
            <a:extLst>
              <a:ext uri="{FF2B5EF4-FFF2-40B4-BE49-F238E27FC236}">
                <a16:creationId xmlns:a16="http://schemas.microsoft.com/office/drawing/2014/main" id="{00000000-0008-0000-0100-0000B4000000}"/>
              </a:ext>
            </a:extLst>
          </xdr:cNvPr>
          <xdr:cNvSpPr/>
        </xdr:nvSpPr>
        <xdr:spPr>
          <a:xfrm>
            <a:off x="2028092" y="16022515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100-0000B5000000}"/>
              </a:ext>
            </a:extLst>
          </xdr:cNvPr>
          <xdr:cNvSpPr/>
        </xdr:nvSpPr>
        <xdr:spPr>
          <a:xfrm>
            <a:off x="920261" y="1583787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82" name="Rectangle 181">
            <a:extLst>
              <a:ext uri="{FF2B5EF4-FFF2-40B4-BE49-F238E27FC236}">
                <a16:creationId xmlns:a16="http://schemas.microsoft.com/office/drawing/2014/main" id="{00000000-0008-0000-0100-0000B6000000}"/>
              </a:ext>
            </a:extLst>
          </xdr:cNvPr>
          <xdr:cNvSpPr/>
        </xdr:nvSpPr>
        <xdr:spPr>
          <a:xfrm rot="18490415">
            <a:off x="1321776" y="15851062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83" name="Rectangle 182">
            <a:extLst>
              <a:ext uri="{FF2B5EF4-FFF2-40B4-BE49-F238E27FC236}">
                <a16:creationId xmlns:a16="http://schemas.microsoft.com/office/drawing/2014/main" id="{00000000-0008-0000-0100-0000B7000000}"/>
              </a:ext>
            </a:extLst>
          </xdr:cNvPr>
          <xdr:cNvSpPr/>
        </xdr:nvSpPr>
        <xdr:spPr>
          <a:xfrm rot="16200000">
            <a:off x="2319705" y="15837877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659422</xdr:colOff>
      <xdr:row>12</xdr:row>
      <xdr:rowOff>29308</xdr:rowOff>
    </xdr:from>
    <xdr:to>
      <xdr:col>1</xdr:col>
      <xdr:colOff>1787767</xdr:colOff>
      <xdr:row>12</xdr:row>
      <xdr:rowOff>773023</xdr:rowOff>
    </xdr:to>
    <xdr:grpSp>
      <xdr:nvGrpSpPr>
        <xdr:cNvPr id="184" name="Group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GrpSpPr/>
      </xdr:nvGrpSpPr>
      <xdr:grpSpPr>
        <a:xfrm>
          <a:off x="1281722" y="9674958"/>
          <a:ext cx="1128345" cy="743715"/>
          <a:chOff x="1267559" y="3612172"/>
          <a:chExt cx="1164979" cy="767861"/>
        </a:xfrm>
      </xdr:grpSpPr>
      <xdr:sp macro="" textlink="">
        <xdr:nvSpPr>
          <xdr:cNvPr id="185" name="Freeform 184">
            <a:extLst>
              <a:ext uri="{FF2B5EF4-FFF2-40B4-BE49-F238E27FC236}">
                <a16:creationId xmlns:a16="http://schemas.microsoft.com/office/drawing/2014/main" id="{00000000-0008-0000-0100-0000B9000000}"/>
              </a:ext>
            </a:extLst>
          </xdr:cNvPr>
          <xdr:cNvSpPr/>
        </xdr:nvSpPr>
        <xdr:spPr>
          <a:xfrm>
            <a:off x="1446544" y="3788018"/>
            <a:ext cx="985994" cy="572903"/>
          </a:xfrm>
          <a:custGeom>
            <a:avLst/>
            <a:gdLst>
              <a:gd name="connsiteX0" fmla="*/ 319768 w 2354036"/>
              <a:gd name="connsiteY0" fmla="*/ 0 h 1449161"/>
              <a:gd name="connsiteX1" fmla="*/ 0 w 2354036"/>
              <a:gd name="connsiteY1" fmla="*/ 299357 h 1449161"/>
              <a:gd name="connsiteX2" fmla="*/ 0 w 2354036"/>
              <a:gd name="connsiteY2" fmla="*/ 1163411 h 1449161"/>
              <a:gd name="connsiteX3" fmla="*/ 326571 w 2354036"/>
              <a:gd name="connsiteY3" fmla="*/ 1449161 h 1449161"/>
              <a:gd name="connsiteX4" fmla="*/ 2027464 w 2354036"/>
              <a:gd name="connsiteY4" fmla="*/ 1442357 h 1449161"/>
              <a:gd name="connsiteX5" fmla="*/ 2354036 w 2354036"/>
              <a:gd name="connsiteY5" fmla="*/ 1149803 h 1449161"/>
              <a:gd name="connsiteX6" fmla="*/ 1360714 w 2354036"/>
              <a:gd name="connsiteY6" fmla="*/ 27214 h 1449161"/>
              <a:gd name="connsiteX7" fmla="*/ 319768 w 2354036"/>
              <a:gd name="connsiteY7" fmla="*/ 0 h 1449161"/>
              <a:gd name="connsiteX0" fmla="*/ 333375 w 2354036"/>
              <a:gd name="connsiteY0" fmla="*/ 0 h 1435554"/>
              <a:gd name="connsiteX1" fmla="*/ 0 w 2354036"/>
              <a:gd name="connsiteY1" fmla="*/ 285750 h 1435554"/>
              <a:gd name="connsiteX2" fmla="*/ 0 w 2354036"/>
              <a:gd name="connsiteY2" fmla="*/ 1149804 h 1435554"/>
              <a:gd name="connsiteX3" fmla="*/ 326571 w 2354036"/>
              <a:gd name="connsiteY3" fmla="*/ 1435554 h 1435554"/>
              <a:gd name="connsiteX4" fmla="*/ 2027464 w 2354036"/>
              <a:gd name="connsiteY4" fmla="*/ 1428750 h 1435554"/>
              <a:gd name="connsiteX5" fmla="*/ 2354036 w 2354036"/>
              <a:gd name="connsiteY5" fmla="*/ 1136196 h 1435554"/>
              <a:gd name="connsiteX6" fmla="*/ 1360714 w 2354036"/>
              <a:gd name="connsiteY6" fmla="*/ 13607 h 1435554"/>
              <a:gd name="connsiteX7" fmla="*/ 333375 w 2354036"/>
              <a:gd name="connsiteY7" fmla="*/ 0 h 1435554"/>
              <a:gd name="connsiteX0" fmla="*/ 340179 w 2360840"/>
              <a:gd name="connsiteY0" fmla="*/ 0 h 1435554"/>
              <a:gd name="connsiteX1" fmla="*/ 0 w 2360840"/>
              <a:gd name="connsiteY1" fmla="*/ 285749 h 1435554"/>
              <a:gd name="connsiteX2" fmla="*/ 6804 w 2360840"/>
              <a:gd name="connsiteY2" fmla="*/ 1149804 h 1435554"/>
              <a:gd name="connsiteX3" fmla="*/ 333375 w 2360840"/>
              <a:gd name="connsiteY3" fmla="*/ 1435554 h 1435554"/>
              <a:gd name="connsiteX4" fmla="*/ 2034268 w 2360840"/>
              <a:gd name="connsiteY4" fmla="*/ 1428750 h 1435554"/>
              <a:gd name="connsiteX5" fmla="*/ 2360840 w 2360840"/>
              <a:gd name="connsiteY5" fmla="*/ 1136196 h 1435554"/>
              <a:gd name="connsiteX6" fmla="*/ 1367518 w 2360840"/>
              <a:gd name="connsiteY6" fmla="*/ 13607 h 1435554"/>
              <a:gd name="connsiteX7" fmla="*/ 340179 w 2360840"/>
              <a:gd name="connsiteY7" fmla="*/ 0 h 1435554"/>
              <a:gd name="connsiteX0" fmla="*/ 340179 w 2360840"/>
              <a:gd name="connsiteY0" fmla="*/ 0 h 1435554"/>
              <a:gd name="connsiteX1" fmla="*/ 0 w 2360840"/>
              <a:gd name="connsiteY1" fmla="*/ 285749 h 1435554"/>
              <a:gd name="connsiteX2" fmla="*/ 0 w 2360840"/>
              <a:gd name="connsiteY2" fmla="*/ 1142999 h 1435554"/>
              <a:gd name="connsiteX3" fmla="*/ 333375 w 2360840"/>
              <a:gd name="connsiteY3" fmla="*/ 1435554 h 1435554"/>
              <a:gd name="connsiteX4" fmla="*/ 2034268 w 2360840"/>
              <a:gd name="connsiteY4" fmla="*/ 1428750 h 1435554"/>
              <a:gd name="connsiteX5" fmla="*/ 2360840 w 2360840"/>
              <a:gd name="connsiteY5" fmla="*/ 1136196 h 1435554"/>
              <a:gd name="connsiteX6" fmla="*/ 1367518 w 2360840"/>
              <a:gd name="connsiteY6" fmla="*/ 13607 h 1435554"/>
              <a:gd name="connsiteX7" fmla="*/ 340179 w 2360840"/>
              <a:gd name="connsiteY7" fmla="*/ 0 h 1435554"/>
              <a:gd name="connsiteX0" fmla="*/ 340179 w 2360840"/>
              <a:gd name="connsiteY0" fmla="*/ 0 h 1428750"/>
              <a:gd name="connsiteX1" fmla="*/ 0 w 2360840"/>
              <a:gd name="connsiteY1" fmla="*/ 285749 h 1428750"/>
              <a:gd name="connsiteX2" fmla="*/ 0 w 2360840"/>
              <a:gd name="connsiteY2" fmla="*/ 1142999 h 1428750"/>
              <a:gd name="connsiteX3" fmla="*/ 340179 w 2360840"/>
              <a:gd name="connsiteY3" fmla="*/ 1428749 h 1428750"/>
              <a:gd name="connsiteX4" fmla="*/ 2034268 w 2360840"/>
              <a:gd name="connsiteY4" fmla="*/ 1428750 h 1428750"/>
              <a:gd name="connsiteX5" fmla="*/ 2360840 w 2360840"/>
              <a:gd name="connsiteY5" fmla="*/ 1136196 h 1428750"/>
              <a:gd name="connsiteX6" fmla="*/ 1367518 w 2360840"/>
              <a:gd name="connsiteY6" fmla="*/ 13607 h 1428750"/>
              <a:gd name="connsiteX7" fmla="*/ 340179 w 2360840"/>
              <a:gd name="connsiteY7" fmla="*/ 0 h 1428750"/>
              <a:gd name="connsiteX0" fmla="*/ 340179 w 2360840"/>
              <a:gd name="connsiteY0" fmla="*/ 0 h 1428749"/>
              <a:gd name="connsiteX1" fmla="*/ 0 w 2360840"/>
              <a:gd name="connsiteY1" fmla="*/ 285749 h 1428749"/>
              <a:gd name="connsiteX2" fmla="*/ 0 w 2360840"/>
              <a:gd name="connsiteY2" fmla="*/ 1142999 h 1428749"/>
              <a:gd name="connsiteX3" fmla="*/ 340179 w 2360840"/>
              <a:gd name="connsiteY3" fmla="*/ 1428749 h 1428749"/>
              <a:gd name="connsiteX4" fmla="*/ 2041072 w 2360840"/>
              <a:gd name="connsiteY4" fmla="*/ 1428749 h 1428749"/>
              <a:gd name="connsiteX5" fmla="*/ 2360840 w 2360840"/>
              <a:gd name="connsiteY5" fmla="*/ 1136196 h 1428749"/>
              <a:gd name="connsiteX6" fmla="*/ 1367518 w 2360840"/>
              <a:gd name="connsiteY6" fmla="*/ 13607 h 1428749"/>
              <a:gd name="connsiteX7" fmla="*/ 340179 w 2360840"/>
              <a:gd name="connsiteY7" fmla="*/ 0 h 1428749"/>
              <a:gd name="connsiteX0" fmla="*/ 340179 w 2381250"/>
              <a:gd name="connsiteY0" fmla="*/ 0 h 1428749"/>
              <a:gd name="connsiteX1" fmla="*/ 0 w 2381250"/>
              <a:gd name="connsiteY1" fmla="*/ 285749 h 1428749"/>
              <a:gd name="connsiteX2" fmla="*/ 0 w 2381250"/>
              <a:gd name="connsiteY2" fmla="*/ 1142999 h 1428749"/>
              <a:gd name="connsiteX3" fmla="*/ 340179 w 2381250"/>
              <a:gd name="connsiteY3" fmla="*/ 1428749 h 1428749"/>
              <a:gd name="connsiteX4" fmla="*/ 2041072 w 2381250"/>
              <a:gd name="connsiteY4" fmla="*/ 1428749 h 1428749"/>
              <a:gd name="connsiteX5" fmla="*/ 2381250 w 2381250"/>
              <a:gd name="connsiteY5" fmla="*/ 1143000 h 1428749"/>
              <a:gd name="connsiteX6" fmla="*/ 1367518 w 2381250"/>
              <a:gd name="connsiteY6" fmla="*/ 13607 h 1428749"/>
              <a:gd name="connsiteX7" fmla="*/ 340179 w 2381250"/>
              <a:gd name="connsiteY7" fmla="*/ 0 h 1428749"/>
              <a:gd name="connsiteX0" fmla="*/ 340179 w 2381250"/>
              <a:gd name="connsiteY0" fmla="*/ 0 h 1428749"/>
              <a:gd name="connsiteX1" fmla="*/ 0 w 2381250"/>
              <a:gd name="connsiteY1" fmla="*/ 285749 h 1428749"/>
              <a:gd name="connsiteX2" fmla="*/ 0 w 2381250"/>
              <a:gd name="connsiteY2" fmla="*/ 1142999 h 1428749"/>
              <a:gd name="connsiteX3" fmla="*/ 340179 w 2381250"/>
              <a:gd name="connsiteY3" fmla="*/ 1428749 h 1428749"/>
              <a:gd name="connsiteX4" fmla="*/ 2041072 w 2381250"/>
              <a:gd name="connsiteY4" fmla="*/ 1428749 h 1428749"/>
              <a:gd name="connsiteX5" fmla="*/ 2381250 w 2381250"/>
              <a:gd name="connsiteY5" fmla="*/ 1143000 h 1428749"/>
              <a:gd name="connsiteX6" fmla="*/ 1360715 w 2381250"/>
              <a:gd name="connsiteY6" fmla="*/ 0 h 1428749"/>
              <a:gd name="connsiteX7" fmla="*/ 340179 w 2381250"/>
              <a:gd name="connsiteY7" fmla="*/ 0 h 1428749"/>
              <a:gd name="connsiteX0" fmla="*/ 340179 w 2381250"/>
              <a:gd name="connsiteY0" fmla="*/ 0 h 1428749"/>
              <a:gd name="connsiteX1" fmla="*/ 0 w 2381250"/>
              <a:gd name="connsiteY1" fmla="*/ 285749 h 1428749"/>
              <a:gd name="connsiteX2" fmla="*/ 0 w 2381250"/>
              <a:gd name="connsiteY2" fmla="*/ 1142999 h 1428749"/>
              <a:gd name="connsiteX3" fmla="*/ 340179 w 2381250"/>
              <a:gd name="connsiteY3" fmla="*/ 1428749 h 1428749"/>
              <a:gd name="connsiteX4" fmla="*/ 2041072 w 2381250"/>
              <a:gd name="connsiteY4" fmla="*/ 1428749 h 1428749"/>
              <a:gd name="connsiteX5" fmla="*/ 2381250 w 2381250"/>
              <a:gd name="connsiteY5" fmla="*/ 1143000 h 1428749"/>
              <a:gd name="connsiteX6" fmla="*/ 1360715 w 2381250"/>
              <a:gd name="connsiteY6" fmla="*/ 0 h 1428749"/>
              <a:gd name="connsiteX7" fmla="*/ 340179 w 2381250"/>
              <a:gd name="connsiteY7" fmla="*/ 0 h 1428749"/>
              <a:gd name="connsiteX0" fmla="*/ 340179 w 2381250"/>
              <a:gd name="connsiteY0" fmla="*/ 0 h 1428749"/>
              <a:gd name="connsiteX1" fmla="*/ 0 w 2381250"/>
              <a:gd name="connsiteY1" fmla="*/ 285749 h 1428749"/>
              <a:gd name="connsiteX2" fmla="*/ 0 w 2381250"/>
              <a:gd name="connsiteY2" fmla="*/ 1142999 h 1428749"/>
              <a:gd name="connsiteX3" fmla="*/ 340179 w 2381250"/>
              <a:gd name="connsiteY3" fmla="*/ 1428749 h 1428749"/>
              <a:gd name="connsiteX4" fmla="*/ 2041072 w 2381250"/>
              <a:gd name="connsiteY4" fmla="*/ 1428749 h 1428749"/>
              <a:gd name="connsiteX5" fmla="*/ 2381250 w 2381250"/>
              <a:gd name="connsiteY5" fmla="*/ 1143000 h 1428749"/>
              <a:gd name="connsiteX6" fmla="*/ 1360715 w 2381250"/>
              <a:gd name="connsiteY6" fmla="*/ 0 h 1428749"/>
              <a:gd name="connsiteX7" fmla="*/ 340179 w 2381250"/>
              <a:gd name="connsiteY7" fmla="*/ 0 h 1428749"/>
              <a:gd name="connsiteX0" fmla="*/ 340179 w 2381250"/>
              <a:gd name="connsiteY0" fmla="*/ 0 h 1428749"/>
              <a:gd name="connsiteX1" fmla="*/ 0 w 2381250"/>
              <a:gd name="connsiteY1" fmla="*/ 285749 h 1428749"/>
              <a:gd name="connsiteX2" fmla="*/ 0 w 2381250"/>
              <a:gd name="connsiteY2" fmla="*/ 1142999 h 1428749"/>
              <a:gd name="connsiteX3" fmla="*/ 340179 w 2381250"/>
              <a:gd name="connsiteY3" fmla="*/ 1428749 h 1428749"/>
              <a:gd name="connsiteX4" fmla="*/ 2041072 w 2381250"/>
              <a:gd name="connsiteY4" fmla="*/ 1428749 h 1428749"/>
              <a:gd name="connsiteX5" fmla="*/ 2381250 w 2381250"/>
              <a:gd name="connsiteY5" fmla="*/ 1143000 h 1428749"/>
              <a:gd name="connsiteX6" fmla="*/ 1360715 w 2381250"/>
              <a:gd name="connsiteY6" fmla="*/ 0 h 1428749"/>
              <a:gd name="connsiteX7" fmla="*/ 340179 w 2381250"/>
              <a:gd name="connsiteY7" fmla="*/ 0 h 1428749"/>
              <a:gd name="connsiteX0" fmla="*/ 340179 w 2381250"/>
              <a:gd name="connsiteY0" fmla="*/ 0 h 1428749"/>
              <a:gd name="connsiteX1" fmla="*/ 0 w 2381250"/>
              <a:gd name="connsiteY1" fmla="*/ 285749 h 1428749"/>
              <a:gd name="connsiteX2" fmla="*/ 0 w 2381250"/>
              <a:gd name="connsiteY2" fmla="*/ 1142999 h 1428749"/>
              <a:gd name="connsiteX3" fmla="*/ 340179 w 2381250"/>
              <a:gd name="connsiteY3" fmla="*/ 1428749 h 1428749"/>
              <a:gd name="connsiteX4" fmla="*/ 2041072 w 2381250"/>
              <a:gd name="connsiteY4" fmla="*/ 1428749 h 1428749"/>
              <a:gd name="connsiteX5" fmla="*/ 2381250 w 2381250"/>
              <a:gd name="connsiteY5" fmla="*/ 1143000 h 1428749"/>
              <a:gd name="connsiteX6" fmla="*/ 1360715 w 2381250"/>
              <a:gd name="connsiteY6" fmla="*/ 0 h 1428749"/>
              <a:gd name="connsiteX7" fmla="*/ 340179 w 2381250"/>
              <a:gd name="connsiteY7" fmla="*/ 0 h 1428749"/>
              <a:gd name="connsiteX0" fmla="*/ 340179 w 2381250"/>
              <a:gd name="connsiteY0" fmla="*/ 0 h 1428749"/>
              <a:gd name="connsiteX1" fmla="*/ 0 w 2381250"/>
              <a:gd name="connsiteY1" fmla="*/ 285749 h 1428749"/>
              <a:gd name="connsiteX2" fmla="*/ 0 w 2381250"/>
              <a:gd name="connsiteY2" fmla="*/ 1142999 h 1428749"/>
              <a:gd name="connsiteX3" fmla="*/ 340179 w 2381250"/>
              <a:gd name="connsiteY3" fmla="*/ 1428749 h 1428749"/>
              <a:gd name="connsiteX4" fmla="*/ 2041072 w 2381250"/>
              <a:gd name="connsiteY4" fmla="*/ 1428749 h 1428749"/>
              <a:gd name="connsiteX5" fmla="*/ 2381250 w 2381250"/>
              <a:gd name="connsiteY5" fmla="*/ 1143000 h 1428749"/>
              <a:gd name="connsiteX6" fmla="*/ 1360715 w 2381250"/>
              <a:gd name="connsiteY6" fmla="*/ 0 h 1428749"/>
              <a:gd name="connsiteX7" fmla="*/ 340179 w 2381250"/>
              <a:gd name="connsiteY7" fmla="*/ 0 h 1428749"/>
              <a:gd name="connsiteX0" fmla="*/ 340179 w 2381250"/>
              <a:gd name="connsiteY0" fmla="*/ 0 h 1428749"/>
              <a:gd name="connsiteX1" fmla="*/ 0 w 2381250"/>
              <a:gd name="connsiteY1" fmla="*/ 285749 h 1428749"/>
              <a:gd name="connsiteX2" fmla="*/ 0 w 2381250"/>
              <a:gd name="connsiteY2" fmla="*/ 1142999 h 1428749"/>
              <a:gd name="connsiteX3" fmla="*/ 340179 w 2381250"/>
              <a:gd name="connsiteY3" fmla="*/ 1428749 h 1428749"/>
              <a:gd name="connsiteX4" fmla="*/ 2041072 w 2381250"/>
              <a:gd name="connsiteY4" fmla="*/ 1428749 h 1428749"/>
              <a:gd name="connsiteX5" fmla="*/ 2381250 w 2381250"/>
              <a:gd name="connsiteY5" fmla="*/ 1143000 h 1428749"/>
              <a:gd name="connsiteX6" fmla="*/ 1360715 w 2381250"/>
              <a:gd name="connsiteY6" fmla="*/ 0 h 1428749"/>
              <a:gd name="connsiteX7" fmla="*/ 340179 w 2381250"/>
              <a:gd name="connsiteY7" fmla="*/ 0 h 1428749"/>
              <a:gd name="connsiteX0" fmla="*/ 340179 w 2381250"/>
              <a:gd name="connsiteY0" fmla="*/ 0 h 1428749"/>
              <a:gd name="connsiteX1" fmla="*/ 0 w 2381250"/>
              <a:gd name="connsiteY1" fmla="*/ 285749 h 1428749"/>
              <a:gd name="connsiteX2" fmla="*/ 0 w 2381250"/>
              <a:gd name="connsiteY2" fmla="*/ 1142999 h 1428749"/>
              <a:gd name="connsiteX3" fmla="*/ 340179 w 2381250"/>
              <a:gd name="connsiteY3" fmla="*/ 1428749 h 1428749"/>
              <a:gd name="connsiteX4" fmla="*/ 2041072 w 2381250"/>
              <a:gd name="connsiteY4" fmla="*/ 1428749 h 1428749"/>
              <a:gd name="connsiteX5" fmla="*/ 2381250 w 2381250"/>
              <a:gd name="connsiteY5" fmla="*/ 1143000 h 1428749"/>
              <a:gd name="connsiteX6" fmla="*/ 1360715 w 2381250"/>
              <a:gd name="connsiteY6" fmla="*/ 0 h 1428749"/>
              <a:gd name="connsiteX7" fmla="*/ 340179 w 2381250"/>
              <a:gd name="connsiteY7" fmla="*/ 0 h 1428749"/>
              <a:gd name="connsiteX0" fmla="*/ 340179 w 2525729"/>
              <a:gd name="connsiteY0" fmla="*/ 0 h 1428749"/>
              <a:gd name="connsiteX1" fmla="*/ 0 w 2525729"/>
              <a:gd name="connsiteY1" fmla="*/ 285749 h 1428749"/>
              <a:gd name="connsiteX2" fmla="*/ 0 w 2525729"/>
              <a:gd name="connsiteY2" fmla="*/ 1142999 h 1428749"/>
              <a:gd name="connsiteX3" fmla="*/ 340179 w 2525729"/>
              <a:gd name="connsiteY3" fmla="*/ 1428749 h 1428749"/>
              <a:gd name="connsiteX4" fmla="*/ 2041072 w 2525729"/>
              <a:gd name="connsiteY4" fmla="*/ 1428749 h 1428749"/>
              <a:gd name="connsiteX5" fmla="*/ 2381250 w 2525729"/>
              <a:gd name="connsiteY5" fmla="*/ 1143000 h 1428749"/>
              <a:gd name="connsiteX6" fmla="*/ 1360715 w 2525729"/>
              <a:gd name="connsiteY6" fmla="*/ 0 h 1428749"/>
              <a:gd name="connsiteX7" fmla="*/ 340179 w 2525729"/>
              <a:gd name="connsiteY7" fmla="*/ 0 h 1428749"/>
              <a:gd name="connsiteX0" fmla="*/ 340179 w 2607888"/>
              <a:gd name="connsiteY0" fmla="*/ 0 h 1428762"/>
              <a:gd name="connsiteX1" fmla="*/ 0 w 2607888"/>
              <a:gd name="connsiteY1" fmla="*/ 285749 h 1428762"/>
              <a:gd name="connsiteX2" fmla="*/ 0 w 2607888"/>
              <a:gd name="connsiteY2" fmla="*/ 1142999 h 1428762"/>
              <a:gd name="connsiteX3" fmla="*/ 340179 w 2607888"/>
              <a:gd name="connsiteY3" fmla="*/ 1428749 h 1428762"/>
              <a:gd name="connsiteX4" fmla="*/ 2041072 w 2607888"/>
              <a:gd name="connsiteY4" fmla="*/ 1428749 h 1428762"/>
              <a:gd name="connsiteX5" fmla="*/ 2381250 w 2607888"/>
              <a:gd name="connsiteY5" fmla="*/ 1143000 h 1428762"/>
              <a:gd name="connsiteX6" fmla="*/ 1360715 w 2607888"/>
              <a:gd name="connsiteY6" fmla="*/ 0 h 1428762"/>
              <a:gd name="connsiteX7" fmla="*/ 340179 w 2607888"/>
              <a:gd name="connsiteY7" fmla="*/ 0 h 1428762"/>
              <a:gd name="connsiteX0" fmla="*/ 340179 w 2576099"/>
              <a:gd name="connsiteY0" fmla="*/ 0 h 1428749"/>
              <a:gd name="connsiteX1" fmla="*/ 0 w 2576099"/>
              <a:gd name="connsiteY1" fmla="*/ 285749 h 1428749"/>
              <a:gd name="connsiteX2" fmla="*/ 0 w 2576099"/>
              <a:gd name="connsiteY2" fmla="*/ 1142999 h 1428749"/>
              <a:gd name="connsiteX3" fmla="*/ 340179 w 2576099"/>
              <a:gd name="connsiteY3" fmla="*/ 1428749 h 1428749"/>
              <a:gd name="connsiteX4" fmla="*/ 2041072 w 2576099"/>
              <a:gd name="connsiteY4" fmla="*/ 1428749 h 1428749"/>
              <a:gd name="connsiteX5" fmla="*/ 2381250 w 2576099"/>
              <a:gd name="connsiteY5" fmla="*/ 1143000 h 1428749"/>
              <a:gd name="connsiteX6" fmla="*/ 1360715 w 2576099"/>
              <a:gd name="connsiteY6" fmla="*/ 0 h 1428749"/>
              <a:gd name="connsiteX7" fmla="*/ 340179 w 2576099"/>
              <a:gd name="connsiteY7" fmla="*/ 0 h 1428749"/>
              <a:gd name="connsiteX0" fmla="*/ 340179 w 2535380"/>
              <a:gd name="connsiteY0" fmla="*/ 0 h 1430153"/>
              <a:gd name="connsiteX1" fmla="*/ 0 w 2535380"/>
              <a:gd name="connsiteY1" fmla="*/ 285749 h 1430153"/>
              <a:gd name="connsiteX2" fmla="*/ 0 w 2535380"/>
              <a:gd name="connsiteY2" fmla="*/ 1142999 h 1430153"/>
              <a:gd name="connsiteX3" fmla="*/ 340179 w 2535380"/>
              <a:gd name="connsiteY3" fmla="*/ 1428749 h 1430153"/>
              <a:gd name="connsiteX4" fmla="*/ 2041072 w 2535380"/>
              <a:gd name="connsiteY4" fmla="*/ 1428749 h 1430153"/>
              <a:gd name="connsiteX5" fmla="*/ 2381250 w 2535380"/>
              <a:gd name="connsiteY5" fmla="*/ 1143000 h 1430153"/>
              <a:gd name="connsiteX6" fmla="*/ 1360715 w 2535380"/>
              <a:gd name="connsiteY6" fmla="*/ 0 h 1430153"/>
              <a:gd name="connsiteX7" fmla="*/ 340179 w 2535380"/>
              <a:gd name="connsiteY7" fmla="*/ 0 h 1430153"/>
              <a:gd name="connsiteX0" fmla="*/ 340179 w 2535380"/>
              <a:gd name="connsiteY0" fmla="*/ 0 h 1430153"/>
              <a:gd name="connsiteX1" fmla="*/ 0 w 2535380"/>
              <a:gd name="connsiteY1" fmla="*/ 285749 h 1430153"/>
              <a:gd name="connsiteX2" fmla="*/ 0 w 2535380"/>
              <a:gd name="connsiteY2" fmla="*/ 1142999 h 1430153"/>
              <a:gd name="connsiteX3" fmla="*/ 340179 w 2535380"/>
              <a:gd name="connsiteY3" fmla="*/ 1428749 h 1430153"/>
              <a:gd name="connsiteX4" fmla="*/ 2041072 w 2535380"/>
              <a:gd name="connsiteY4" fmla="*/ 1428749 h 1430153"/>
              <a:gd name="connsiteX5" fmla="*/ 2381250 w 2535380"/>
              <a:gd name="connsiteY5" fmla="*/ 1143000 h 1430153"/>
              <a:gd name="connsiteX6" fmla="*/ 1435554 w 2535380"/>
              <a:gd name="connsiteY6" fmla="*/ 68036 h 1430153"/>
              <a:gd name="connsiteX7" fmla="*/ 1360715 w 2535380"/>
              <a:gd name="connsiteY7" fmla="*/ 0 h 1430153"/>
              <a:gd name="connsiteX8" fmla="*/ 340179 w 2535380"/>
              <a:gd name="connsiteY8" fmla="*/ 0 h 1430153"/>
              <a:gd name="connsiteX0" fmla="*/ 340179 w 2535380"/>
              <a:gd name="connsiteY0" fmla="*/ 0 h 1430153"/>
              <a:gd name="connsiteX1" fmla="*/ 0 w 2535380"/>
              <a:gd name="connsiteY1" fmla="*/ 285749 h 1430153"/>
              <a:gd name="connsiteX2" fmla="*/ 0 w 2535380"/>
              <a:gd name="connsiteY2" fmla="*/ 1142999 h 1430153"/>
              <a:gd name="connsiteX3" fmla="*/ 340179 w 2535380"/>
              <a:gd name="connsiteY3" fmla="*/ 1428749 h 1430153"/>
              <a:gd name="connsiteX4" fmla="*/ 2041072 w 2535380"/>
              <a:gd name="connsiteY4" fmla="*/ 1428749 h 1430153"/>
              <a:gd name="connsiteX5" fmla="*/ 2381250 w 2535380"/>
              <a:gd name="connsiteY5" fmla="*/ 1143000 h 1430153"/>
              <a:gd name="connsiteX6" fmla="*/ 1360715 w 2535380"/>
              <a:gd name="connsiteY6" fmla="*/ 0 h 1430153"/>
              <a:gd name="connsiteX7" fmla="*/ 1360715 w 2535380"/>
              <a:gd name="connsiteY7" fmla="*/ 0 h 1430153"/>
              <a:gd name="connsiteX8" fmla="*/ 340179 w 2535380"/>
              <a:gd name="connsiteY8" fmla="*/ 0 h 1430153"/>
              <a:gd name="connsiteX0" fmla="*/ 340179 w 2535380"/>
              <a:gd name="connsiteY0" fmla="*/ 0 h 1430153"/>
              <a:gd name="connsiteX1" fmla="*/ 0 w 2535380"/>
              <a:gd name="connsiteY1" fmla="*/ 285749 h 1430153"/>
              <a:gd name="connsiteX2" fmla="*/ 0 w 2535380"/>
              <a:gd name="connsiteY2" fmla="*/ 1142999 h 1430153"/>
              <a:gd name="connsiteX3" fmla="*/ 340179 w 2535380"/>
              <a:gd name="connsiteY3" fmla="*/ 1428749 h 1430153"/>
              <a:gd name="connsiteX4" fmla="*/ 2041072 w 2535380"/>
              <a:gd name="connsiteY4" fmla="*/ 1428749 h 1430153"/>
              <a:gd name="connsiteX5" fmla="*/ 2381250 w 2535380"/>
              <a:gd name="connsiteY5" fmla="*/ 1143000 h 1430153"/>
              <a:gd name="connsiteX6" fmla="*/ 1360715 w 2535380"/>
              <a:gd name="connsiteY6" fmla="*/ 0 h 1430153"/>
              <a:gd name="connsiteX7" fmla="*/ 1020536 w 2535380"/>
              <a:gd name="connsiteY7" fmla="*/ 0 h 1430153"/>
              <a:gd name="connsiteX8" fmla="*/ 340179 w 2535380"/>
              <a:gd name="connsiteY8" fmla="*/ 0 h 143015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2535380" h="1430153">
                <a:moveTo>
                  <a:pt x="340179" y="0"/>
                </a:moveTo>
                <a:cubicBezTo>
                  <a:pt x="-11339" y="6804"/>
                  <a:pt x="4536" y="61231"/>
                  <a:pt x="0" y="285749"/>
                </a:cubicBezTo>
                <a:lnTo>
                  <a:pt x="0" y="1142999"/>
                </a:lnTo>
                <a:cubicBezTo>
                  <a:pt x="4536" y="1435553"/>
                  <a:pt x="-11339" y="1421945"/>
                  <a:pt x="340179" y="1428749"/>
                </a:cubicBezTo>
                <a:lnTo>
                  <a:pt x="2041072" y="1428749"/>
                </a:lnTo>
                <a:cubicBezTo>
                  <a:pt x="2576287" y="1435553"/>
                  <a:pt x="2655661" y="1428750"/>
                  <a:pt x="2381250" y="1143000"/>
                </a:cubicBezTo>
                <a:lnTo>
                  <a:pt x="1360715" y="0"/>
                </a:lnTo>
                <a:lnTo>
                  <a:pt x="1020536" y="0"/>
                </a:lnTo>
                <a:lnTo>
                  <a:pt x="340179" y="0"/>
                </a:lnTo>
                <a:close/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6" name="Rectangle 185">
            <a:extLst>
              <a:ext uri="{FF2B5EF4-FFF2-40B4-BE49-F238E27FC236}">
                <a16:creationId xmlns:a16="http://schemas.microsoft.com/office/drawing/2014/main" id="{00000000-0008-0000-0100-0000BA000000}"/>
              </a:ext>
            </a:extLst>
          </xdr:cNvPr>
          <xdr:cNvSpPr/>
        </xdr:nvSpPr>
        <xdr:spPr>
          <a:xfrm rot="16200000">
            <a:off x="1259613" y="3882651"/>
            <a:ext cx="301641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100-0000BB000000}"/>
              </a:ext>
            </a:extLst>
          </xdr:cNvPr>
          <xdr:cNvSpPr/>
        </xdr:nvSpPr>
        <xdr:spPr>
          <a:xfrm>
            <a:off x="1604597" y="3612172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88" name="Rectangle 187">
            <a:extLst>
              <a:ext uri="{FF2B5EF4-FFF2-40B4-BE49-F238E27FC236}">
                <a16:creationId xmlns:a16="http://schemas.microsoft.com/office/drawing/2014/main" id="{00000000-0008-0000-0100-0000BC000000}"/>
              </a:ext>
            </a:extLst>
          </xdr:cNvPr>
          <xdr:cNvSpPr/>
        </xdr:nvSpPr>
        <xdr:spPr>
          <a:xfrm>
            <a:off x="1742343" y="4182206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89" name="Rectangle 188">
            <a:extLst>
              <a:ext uri="{FF2B5EF4-FFF2-40B4-BE49-F238E27FC236}">
                <a16:creationId xmlns:a16="http://schemas.microsoft.com/office/drawing/2014/main" id="{00000000-0008-0000-0100-0000BD000000}"/>
              </a:ext>
            </a:extLst>
          </xdr:cNvPr>
          <xdr:cNvSpPr/>
        </xdr:nvSpPr>
        <xdr:spPr>
          <a:xfrm rot="2955795">
            <a:off x="2114550" y="3851029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937846</xdr:colOff>
      <xdr:row>11</xdr:row>
      <xdr:rowOff>139212</xdr:rowOff>
    </xdr:from>
    <xdr:to>
      <xdr:col>1</xdr:col>
      <xdr:colOff>1685198</xdr:colOff>
      <xdr:row>11</xdr:row>
      <xdr:rowOff>775272</xdr:rowOff>
    </xdr:to>
    <xdr:grpSp>
      <xdr:nvGrpSpPr>
        <xdr:cNvPr id="190" name="Group 189">
          <a:extLs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GrpSpPr/>
      </xdr:nvGrpSpPr>
      <xdr:grpSpPr>
        <a:xfrm>
          <a:off x="1560146" y="8946662"/>
          <a:ext cx="747352" cy="636060"/>
          <a:chOff x="1443403" y="21401942"/>
          <a:chExt cx="747352" cy="636060"/>
        </a:xfrm>
      </xdr:grpSpPr>
      <xdr:grpSp>
        <xdr:nvGrpSpPr>
          <xdr:cNvPr id="191" name="Group 190">
            <a:extLst>
              <a:ext uri="{FF2B5EF4-FFF2-40B4-BE49-F238E27FC236}">
                <a16:creationId xmlns:a16="http://schemas.microsoft.com/office/drawing/2014/main" id="{00000000-0008-0000-0100-0000BF000000}"/>
              </a:ext>
            </a:extLst>
          </xdr:cNvPr>
          <xdr:cNvGrpSpPr/>
        </xdr:nvGrpSpPr>
        <xdr:grpSpPr>
          <a:xfrm>
            <a:off x="1443403" y="21401942"/>
            <a:ext cx="528497" cy="491002"/>
            <a:chOff x="1291526" y="1041292"/>
            <a:chExt cx="1356145" cy="1130184"/>
          </a:xfrm>
        </xdr:grpSpPr>
        <xdr:sp macro="" textlink="">
          <xdr:nvSpPr>
            <xdr:cNvPr id="195" name="Rectangle 37">
              <a:extLst>
                <a:ext uri="{FF2B5EF4-FFF2-40B4-BE49-F238E27FC236}">
                  <a16:creationId xmlns:a16="http://schemas.microsoft.com/office/drawing/2014/main" id="{00000000-0008-0000-0100-0000C3000000}"/>
                </a:ext>
              </a:extLst>
            </xdr:cNvPr>
            <xdr:cNvSpPr/>
          </xdr:nvSpPr>
          <xdr:spPr>
            <a:xfrm>
              <a:off x="1291526" y="1041292"/>
              <a:ext cx="1356145" cy="1130184"/>
            </a:xfrm>
            <a:custGeom>
              <a:avLst/>
              <a:gdLst>
                <a:gd name="connsiteX0" fmla="*/ 0 w 1378857"/>
                <a:gd name="connsiteY0" fmla="*/ 0 h 1143000"/>
                <a:gd name="connsiteX1" fmla="*/ 1378857 w 1378857"/>
                <a:gd name="connsiteY1" fmla="*/ 0 h 1143000"/>
                <a:gd name="connsiteX2" fmla="*/ 1378857 w 1378857"/>
                <a:gd name="connsiteY2" fmla="*/ 1143000 h 1143000"/>
                <a:gd name="connsiteX3" fmla="*/ 0 w 1378857"/>
                <a:gd name="connsiteY3" fmla="*/ 1143000 h 1143000"/>
                <a:gd name="connsiteX4" fmla="*/ 0 w 1378857"/>
                <a:gd name="connsiteY4" fmla="*/ 0 h 1143000"/>
                <a:gd name="connsiteX0" fmla="*/ 0 w 1378857"/>
                <a:gd name="connsiteY0" fmla="*/ 0 h 1143000"/>
                <a:gd name="connsiteX1" fmla="*/ 299357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0 h 1143000"/>
                <a:gd name="connsiteX0" fmla="*/ 0 w 1378857"/>
                <a:gd name="connsiteY0" fmla="*/ 0 h 1143000"/>
                <a:gd name="connsiteX1" fmla="*/ 344715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279072 w 1378857"/>
                <a:gd name="connsiteY2" fmla="*/ 0 h 1143000"/>
                <a:gd name="connsiteX3" fmla="*/ 1378857 w 1378857"/>
                <a:gd name="connsiteY3" fmla="*/ 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0 w 1378857"/>
                <a:gd name="connsiteY6" fmla="*/ 1143000 h 1143000"/>
                <a:gd name="connsiteX7" fmla="*/ 0 w 1378857"/>
                <a:gd name="connsiteY7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0 w 1378857"/>
                <a:gd name="connsiteY6" fmla="*/ 1143000 h 1143000"/>
                <a:gd name="connsiteX7" fmla="*/ 0 w 1378857"/>
                <a:gd name="connsiteY7" fmla="*/ 943429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943429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857250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034143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857250 h 1143000"/>
                <a:gd name="connsiteX8" fmla="*/ 0 w 1378857"/>
                <a:gd name="connsiteY8" fmla="*/ 285750 h 1143000"/>
                <a:gd name="connsiteX0" fmla="*/ 0 w 1378857"/>
                <a:gd name="connsiteY0" fmla="*/ 285750 h 1143036"/>
                <a:gd name="connsiteX1" fmla="*/ 344715 w 1378857"/>
                <a:gd name="connsiteY1" fmla="*/ 0 h 1143036"/>
                <a:gd name="connsiteX2" fmla="*/ 1034143 w 1378857"/>
                <a:gd name="connsiteY2" fmla="*/ 0 h 1143036"/>
                <a:gd name="connsiteX3" fmla="*/ 1378857 w 1378857"/>
                <a:gd name="connsiteY3" fmla="*/ 285750 h 1143036"/>
                <a:gd name="connsiteX4" fmla="*/ 1378857 w 1378857"/>
                <a:gd name="connsiteY4" fmla="*/ 866321 h 1143036"/>
                <a:gd name="connsiteX5" fmla="*/ 1034143 w 1378857"/>
                <a:gd name="connsiteY5" fmla="*/ 1143000 h 1143036"/>
                <a:gd name="connsiteX6" fmla="*/ 344715 w 1378857"/>
                <a:gd name="connsiteY6" fmla="*/ 1143000 h 1143036"/>
                <a:gd name="connsiteX7" fmla="*/ 0 w 1378857"/>
                <a:gd name="connsiteY7" fmla="*/ 857250 h 1143036"/>
                <a:gd name="connsiteX8" fmla="*/ 0 w 1378857"/>
                <a:gd name="connsiteY8" fmla="*/ 285750 h 1143036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387"/>
                <a:gd name="connsiteX1" fmla="*/ 344715 w 1378900"/>
                <a:gd name="connsiteY1" fmla="*/ 0 h 1143387"/>
                <a:gd name="connsiteX2" fmla="*/ 1034143 w 1378900"/>
                <a:gd name="connsiteY2" fmla="*/ 0 h 1143387"/>
                <a:gd name="connsiteX3" fmla="*/ 1378857 w 1378900"/>
                <a:gd name="connsiteY3" fmla="*/ 285750 h 1143387"/>
                <a:gd name="connsiteX4" fmla="*/ 1378857 w 1378900"/>
                <a:gd name="connsiteY4" fmla="*/ 866321 h 1143387"/>
                <a:gd name="connsiteX5" fmla="*/ 1034143 w 1378900"/>
                <a:gd name="connsiteY5" fmla="*/ 1143000 h 1143387"/>
                <a:gd name="connsiteX6" fmla="*/ 344715 w 1378900"/>
                <a:gd name="connsiteY6" fmla="*/ 1143000 h 1143387"/>
                <a:gd name="connsiteX7" fmla="*/ 0 w 1378900"/>
                <a:gd name="connsiteY7" fmla="*/ 857250 h 1143387"/>
                <a:gd name="connsiteX8" fmla="*/ 0 w 1378900"/>
                <a:gd name="connsiteY8" fmla="*/ 285750 h 1143387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1378900" h="1143099">
                  <a:moveTo>
                    <a:pt x="0" y="285750"/>
                  </a:moveTo>
                  <a:cubicBezTo>
                    <a:pt x="6048" y="95250"/>
                    <a:pt x="80131" y="0"/>
                    <a:pt x="344715" y="0"/>
                  </a:cubicBezTo>
                  <a:lnTo>
                    <a:pt x="1034143" y="0"/>
                  </a:lnTo>
                  <a:cubicBezTo>
                    <a:pt x="1235226" y="9071"/>
                    <a:pt x="1377345" y="122464"/>
                    <a:pt x="1378857" y="285750"/>
                  </a:cubicBezTo>
                  <a:lnTo>
                    <a:pt x="1378857" y="866321"/>
                  </a:lnTo>
                  <a:cubicBezTo>
                    <a:pt x="1381880" y="1081011"/>
                    <a:pt x="1226155" y="1146024"/>
                    <a:pt x="1034143" y="1143000"/>
                  </a:cubicBezTo>
                  <a:lnTo>
                    <a:pt x="344715" y="1143000"/>
                  </a:lnTo>
                  <a:cubicBezTo>
                    <a:pt x="220738" y="1138464"/>
                    <a:pt x="6048" y="1115786"/>
                    <a:pt x="0" y="857250"/>
                  </a:cubicBezTo>
                  <a:lnTo>
                    <a:pt x="0" y="285750"/>
                  </a:lnTo>
                  <a:close/>
                </a:path>
              </a:pathLst>
            </a:cu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100-0000C4000000}"/>
                </a:ext>
              </a:extLst>
            </xdr:cNvPr>
            <xdr:cNvCxnSpPr/>
          </xdr:nvCxnSpPr>
          <xdr:spPr>
            <a:xfrm>
              <a:off x="1436817" y="1062817"/>
              <a:ext cx="339024" cy="282521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100-0000C5000000}"/>
                </a:ext>
              </a:extLst>
            </xdr:cNvPr>
            <xdr:cNvCxnSpPr/>
          </xdr:nvCxnSpPr>
          <xdr:spPr>
            <a:xfrm>
              <a:off x="1297214" y="1216190"/>
              <a:ext cx="339024" cy="282521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2" name="Rectangle 191">
            <a:extLst>
              <a:ext uri="{FF2B5EF4-FFF2-40B4-BE49-F238E27FC236}">
                <a16:creationId xmlns:a16="http://schemas.microsoft.com/office/drawing/2014/main" id="{00000000-0008-0000-0100-0000C0000000}"/>
              </a:ext>
            </a:extLst>
          </xdr:cNvPr>
          <xdr:cNvSpPr/>
        </xdr:nvSpPr>
        <xdr:spPr>
          <a:xfrm rot="16200000">
            <a:off x="1948966" y="21541153"/>
            <a:ext cx="285750" cy="1978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100-0000C1000000}"/>
              </a:ext>
            </a:extLst>
          </xdr:cNvPr>
          <xdr:cNvSpPr/>
        </xdr:nvSpPr>
        <xdr:spPr>
          <a:xfrm>
            <a:off x="1524000" y="2189284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94" name="Rectangle 193">
            <a:extLst>
              <a:ext uri="{FF2B5EF4-FFF2-40B4-BE49-F238E27FC236}">
                <a16:creationId xmlns:a16="http://schemas.microsoft.com/office/drawing/2014/main" id="{00000000-0008-0000-0100-0000C2000000}"/>
              </a:ext>
            </a:extLst>
          </xdr:cNvPr>
          <xdr:cNvSpPr/>
        </xdr:nvSpPr>
        <xdr:spPr>
          <a:xfrm rot="2414799">
            <a:off x="1582614" y="21438577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388327</xdr:colOff>
      <xdr:row>21</xdr:row>
      <xdr:rowOff>161192</xdr:rowOff>
    </xdr:from>
    <xdr:to>
      <xdr:col>1</xdr:col>
      <xdr:colOff>2110154</xdr:colOff>
      <xdr:row>21</xdr:row>
      <xdr:rowOff>652349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GrpSpPr/>
      </xdr:nvGrpSpPr>
      <xdr:grpSpPr>
        <a:xfrm>
          <a:off x="1010627" y="17350642"/>
          <a:ext cx="1721827" cy="491157"/>
          <a:chOff x="908539" y="1941634"/>
          <a:chExt cx="1721827" cy="491157"/>
        </a:xfrm>
      </xdr:grpSpPr>
      <xdr:sp macro="" textlink="">
        <xdr:nvSpPr>
          <xdr:cNvPr id="199" name="Freeform 198">
            <a:extLst>
              <a:ext uri="{FF2B5EF4-FFF2-40B4-BE49-F238E27FC236}">
                <a16:creationId xmlns:a16="http://schemas.microsoft.com/office/drawing/2014/main" id="{00000000-0008-0000-0100-0000C7000000}"/>
              </a:ext>
            </a:extLst>
          </xdr:cNvPr>
          <xdr:cNvSpPr/>
        </xdr:nvSpPr>
        <xdr:spPr>
          <a:xfrm>
            <a:off x="908539" y="2146789"/>
            <a:ext cx="1721827" cy="286002"/>
          </a:xfrm>
          <a:custGeom>
            <a:avLst/>
            <a:gdLst>
              <a:gd name="connsiteX0" fmla="*/ 0 w 1360714"/>
              <a:gd name="connsiteY0" fmla="*/ 13607 h 13607"/>
              <a:gd name="connsiteX1" fmla="*/ 707571 w 1360714"/>
              <a:gd name="connsiteY1" fmla="*/ 0 h 13607"/>
              <a:gd name="connsiteX2" fmla="*/ 1360714 w 1360714"/>
              <a:gd name="connsiteY2" fmla="*/ 0 h 13607"/>
              <a:gd name="connsiteX0" fmla="*/ 0 w 1700893"/>
              <a:gd name="connsiteY0" fmla="*/ 13607 h 13607"/>
              <a:gd name="connsiteX1" fmla="*/ 707571 w 1700893"/>
              <a:gd name="connsiteY1" fmla="*/ 0 h 13607"/>
              <a:gd name="connsiteX2" fmla="*/ 1700893 w 1700893"/>
              <a:gd name="connsiteY2" fmla="*/ 13607 h 13607"/>
              <a:gd name="connsiteX0" fmla="*/ 0 w 1700893"/>
              <a:gd name="connsiteY0" fmla="*/ 13607 h 13607"/>
              <a:gd name="connsiteX1" fmla="*/ 707571 w 1700893"/>
              <a:gd name="connsiteY1" fmla="*/ 0 h 13607"/>
              <a:gd name="connsiteX2" fmla="*/ 1700893 w 1700893"/>
              <a:gd name="connsiteY2" fmla="*/ 13607 h 13607"/>
              <a:gd name="connsiteX0" fmla="*/ 0 w 1700893"/>
              <a:gd name="connsiteY0" fmla="*/ 285750 h 285750"/>
              <a:gd name="connsiteX1" fmla="*/ 680357 w 1700893"/>
              <a:gd name="connsiteY1" fmla="*/ 0 h 285750"/>
              <a:gd name="connsiteX2" fmla="*/ 1700893 w 1700893"/>
              <a:gd name="connsiteY2" fmla="*/ 285750 h 285750"/>
              <a:gd name="connsiteX0" fmla="*/ 0 w 2041071"/>
              <a:gd name="connsiteY0" fmla="*/ 285750 h 285750"/>
              <a:gd name="connsiteX1" fmla="*/ 680357 w 2041071"/>
              <a:gd name="connsiteY1" fmla="*/ 0 h 285750"/>
              <a:gd name="connsiteX2" fmla="*/ 2041071 w 2041071"/>
              <a:gd name="connsiteY2" fmla="*/ 285750 h 285750"/>
              <a:gd name="connsiteX0" fmla="*/ 0 w 2041071"/>
              <a:gd name="connsiteY0" fmla="*/ 285750 h 285750"/>
              <a:gd name="connsiteX1" fmla="*/ 1020536 w 2041071"/>
              <a:gd name="connsiteY1" fmla="*/ 0 h 285750"/>
              <a:gd name="connsiteX2" fmla="*/ 2041071 w 2041071"/>
              <a:gd name="connsiteY2" fmla="*/ 285750 h 285750"/>
              <a:gd name="connsiteX0" fmla="*/ 0 w 2041071"/>
              <a:gd name="connsiteY0" fmla="*/ 285750 h 285750"/>
              <a:gd name="connsiteX1" fmla="*/ 1020536 w 2041071"/>
              <a:gd name="connsiteY1" fmla="*/ 0 h 285750"/>
              <a:gd name="connsiteX2" fmla="*/ 2041071 w 2041071"/>
              <a:gd name="connsiteY2" fmla="*/ 285750 h 285750"/>
              <a:gd name="connsiteX0" fmla="*/ 0 w 2041071"/>
              <a:gd name="connsiteY0" fmla="*/ 285750 h 285750"/>
              <a:gd name="connsiteX1" fmla="*/ 1020536 w 2041071"/>
              <a:gd name="connsiteY1" fmla="*/ 0 h 285750"/>
              <a:gd name="connsiteX2" fmla="*/ 2041071 w 2041071"/>
              <a:gd name="connsiteY2" fmla="*/ 285750 h 285750"/>
              <a:gd name="connsiteX0" fmla="*/ 0 w 2041071"/>
              <a:gd name="connsiteY0" fmla="*/ 286398 h 286398"/>
              <a:gd name="connsiteX1" fmla="*/ 1020536 w 2041071"/>
              <a:gd name="connsiteY1" fmla="*/ 648 h 286398"/>
              <a:gd name="connsiteX2" fmla="*/ 2041071 w 2041071"/>
              <a:gd name="connsiteY2" fmla="*/ 286398 h 286398"/>
              <a:gd name="connsiteX0" fmla="*/ 0 w 2041071"/>
              <a:gd name="connsiteY0" fmla="*/ 285922 h 285922"/>
              <a:gd name="connsiteX1" fmla="*/ 1020536 w 2041071"/>
              <a:gd name="connsiteY1" fmla="*/ 172 h 285922"/>
              <a:gd name="connsiteX2" fmla="*/ 2041071 w 2041071"/>
              <a:gd name="connsiteY2" fmla="*/ 285922 h 285922"/>
              <a:gd name="connsiteX0" fmla="*/ 0 w 2041071"/>
              <a:gd name="connsiteY0" fmla="*/ 286398 h 286398"/>
              <a:gd name="connsiteX1" fmla="*/ 1020536 w 2041071"/>
              <a:gd name="connsiteY1" fmla="*/ 648 h 286398"/>
              <a:gd name="connsiteX2" fmla="*/ 2041071 w 2041071"/>
              <a:gd name="connsiteY2" fmla="*/ 286398 h 286398"/>
              <a:gd name="connsiteX0" fmla="*/ 0 w 2041071"/>
              <a:gd name="connsiteY0" fmla="*/ 286490 h 286490"/>
              <a:gd name="connsiteX1" fmla="*/ 1020536 w 2041071"/>
              <a:gd name="connsiteY1" fmla="*/ 740 h 286490"/>
              <a:gd name="connsiteX2" fmla="*/ 2041071 w 2041071"/>
              <a:gd name="connsiteY2" fmla="*/ 286490 h 286490"/>
              <a:gd name="connsiteX0" fmla="*/ 0 w 2041071"/>
              <a:gd name="connsiteY0" fmla="*/ 286650 h 286650"/>
              <a:gd name="connsiteX1" fmla="*/ 1020536 w 2041071"/>
              <a:gd name="connsiteY1" fmla="*/ 900 h 286650"/>
              <a:gd name="connsiteX2" fmla="*/ 2041071 w 2041071"/>
              <a:gd name="connsiteY2" fmla="*/ 286650 h 286650"/>
              <a:gd name="connsiteX0" fmla="*/ 0 w 2041071"/>
              <a:gd name="connsiteY0" fmla="*/ 286650 h 286650"/>
              <a:gd name="connsiteX1" fmla="*/ 1020536 w 2041071"/>
              <a:gd name="connsiteY1" fmla="*/ 900 h 286650"/>
              <a:gd name="connsiteX2" fmla="*/ 2041071 w 2041071"/>
              <a:gd name="connsiteY2" fmla="*/ 286650 h 2866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2041071" h="286650">
                <a:moveTo>
                  <a:pt x="0" y="286650"/>
                </a:moveTo>
                <a:cubicBezTo>
                  <a:pt x="356508" y="130030"/>
                  <a:pt x="578305" y="-12707"/>
                  <a:pt x="1020536" y="900"/>
                </a:cubicBezTo>
                <a:cubicBezTo>
                  <a:pt x="1462767" y="14507"/>
                  <a:pt x="1709057" y="143667"/>
                  <a:pt x="2041071" y="286650"/>
                </a:cubicBez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0" name="Rectangle 199">
            <a:extLst>
              <a:ext uri="{FF2B5EF4-FFF2-40B4-BE49-F238E27FC236}">
                <a16:creationId xmlns:a16="http://schemas.microsoft.com/office/drawing/2014/main" id="{00000000-0008-0000-0100-0000C8000000}"/>
              </a:ext>
            </a:extLst>
          </xdr:cNvPr>
          <xdr:cNvSpPr/>
        </xdr:nvSpPr>
        <xdr:spPr>
          <a:xfrm>
            <a:off x="1619250" y="1941634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490904</xdr:colOff>
      <xdr:row>28</xdr:row>
      <xdr:rowOff>51288</xdr:rowOff>
    </xdr:from>
    <xdr:to>
      <xdr:col>1</xdr:col>
      <xdr:colOff>1810321</xdr:colOff>
      <xdr:row>28</xdr:row>
      <xdr:rowOff>769326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GrpSpPr/>
      </xdr:nvGrpSpPr>
      <xdr:grpSpPr>
        <a:xfrm>
          <a:off x="1113204" y="23108138"/>
          <a:ext cx="1319417" cy="718038"/>
          <a:chOff x="1157654" y="2703634"/>
          <a:chExt cx="1373273" cy="747347"/>
        </a:xfrm>
      </xdr:grpSpPr>
      <xdr:sp macro="" textlink="">
        <xdr:nvSpPr>
          <xdr:cNvPr id="202" name="Freeform 201">
            <a:extLst>
              <a:ext uri="{FF2B5EF4-FFF2-40B4-BE49-F238E27FC236}">
                <a16:creationId xmlns:a16="http://schemas.microsoft.com/office/drawing/2014/main" id="{00000000-0008-0000-0100-0000CA000000}"/>
              </a:ext>
            </a:extLst>
          </xdr:cNvPr>
          <xdr:cNvSpPr/>
        </xdr:nvSpPr>
        <xdr:spPr>
          <a:xfrm>
            <a:off x="1157654" y="2872153"/>
            <a:ext cx="1373273" cy="571500"/>
          </a:xfrm>
          <a:custGeom>
            <a:avLst/>
            <a:gdLst>
              <a:gd name="connsiteX0" fmla="*/ 0 w 1381125"/>
              <a:gd name="connsiteY0" fmla="*/ 6804 h 585108"/>
              <a:gd name="connsiteX1" fmla="*/ 381000 w 1381125"/>
              <a:gd name="connsiteY1" fmla="*/ 0 h 585108"/>
              <a:gd name="connsiteX2" fmla="*/ 360589 w 1381125"/>
              <a:gd name="connsiteY2" fmla="*/ 571500 h 585108"/>
              <a:gd name="connsiteX3" fmla="*/ 1040946 w 1381125"/>
              <a:gd name="connsiteY3" fmla="*/ 585108 h 585108"/>
              <a:gd name="connsiteX4" fmla="*/ 1047750 w 1381125"/>
              <a:gd name="connsiteY4" fmla="*/ 306161 h 585108"/>
              <a:gd name="connsiteX5" fmla="*/ 1381125 w 1381125"/>
              <a:gd name="connsiteY5" fmla="*/ 299358 h 585108"/>
              <a:gd name="connsiteX0" fmla="*/ 0 w 1381125"/>
              <a:gd name="connsiteY0" fmla="*/ 0 h 578304"/>
              <a:gd name="connsiteX1" fmla="*/ 353786 w 1381125"/>
              <a:gd name="connsiteY1" fmla="*/ 0 h 578304"/>
              <a:gd name="connsiteX2" fmla="*/ 360589 w 1381125"/>
              <a:gd name="connsiteY2" fmla="*/ 564696 h 578304"/>
              <a:gd name="connsiteX3" fmla="*/ 1040946 w 1381125"/>
              <a:gd name="connsiteY3" fmla="*/ 578304 h 578304"/>
              <a:gd name="connsiteX4" fmla="*/ 1047750 w 1381125"/>
              <a:gd name="connsiteY4" fmla="*/ 299357 h 578304"/>
              <a:gd name="connsiteX5" fmla="*/ 1381125 w 1381125"/>
              <a:gd name="connsiteY5" fmla="*/ 292554 h 578304"/>
              <a:gd name="connsiteX0" fmla="*/ 0 w 1367518"/>
              <a:gd name="connsiteY0" fmla="*/ 0 h 578304"/>
              <a:gd name="connsiteX1" fmla="*/ 340179 w 1367518"/>
              <a:gd name="connsiteY1" fmla="*/ 0 h 578304"/>
              <a:gd name="connsiteX2" fmla="*/ 346982 w 1367518"/>
              <a:gd name="connsiteY2" fmla="*/ 564696 h 578304"/>
              <a:gd name="connsiteX3" fmla="*/ 1027339 w 1367518"/>
              <a:gd name="connsiteY3" fmla="*/ 578304 h 578304"/>
              <a:gd name="connsiteX4" fmla="*/ 1034143 w 1367518"/>
              <a:gd name="connsiteY4" fmla="*/ 299357 h 578304"/>
              <a:gd name="connsiteX5" fmla="*/ 1367518 w 1367518"/>
              <a:gd name="connsiteY5" fmla="*/ 292554 h 578304"/>
              <a:gd name="connsiteX0" fmla="*/ 0 w 1367518"/>
              <a:gd name="connsiteY0" fmla="*/ 0 h 578304"/>
              <a:gd name="connsiteX1" fmla="*/ 340179 w 1367518"/>
              <a:gd name="connsiteY1" fmla="*/ 0 h 578304"/>
              <a:gd name="connsiteX2" fmla="*/ 340178 w 1367518"/>
              <a:gd name="connsiteY2" fmla="*/ 571500 h 578304"/>
              <a:gd name="connsiteX3" fmla="*/ 1027339 w 1367518"/>
              <a:gd name="connsiteY3" fmla="*/ 578304 h 578304"/>
              <a:gd name="connsiteX4" fmla="*/ 1034143 w 1367518"/>
              <a:gd name="connsiteY4" fmla="*/ 299357 h 578304"/>
              <a:gd name="connsiteX5" fmla="*/ 1367518 w 1367518"/>
              <a:gd name="connsiteY5" fmla="*/ 292554 h 578304"/>
              <a:gd name="connsiteX0" fmla="*/ 0 w 1367518"/>
              <a:gd name="connsiteY0" fmla="*/ 0 h 571500"/>
              <a:gd name="connsiteX1" fmla="*/ 340179 w 1367518"/>
              <a:gd name="connsiteY1" fmla="*/ 0 h 571500"/>
              <a:gd name="connsiteX2" fmla="*/ 340178 w 1367518"/>
              <a:gd name="connsiteY2" fmla="*/ 571500 h 571500"/>
              <a:gd name="connsiteX3" fmla="*/ 1020535 w 1367518"/>
              <a:gd name="connsiteY3" fmla="*/ 571500 h 571500"/>
              <a:gd name="connsiteX4" fmla="*/ 1034143 w 1367518"/>
              <a:gd name="connsiteY4" fmla="*/ 299357 h 571500"/>
              <a:gd name="connsiteX5" fmla="*/ 1367518 w 1367518"/>
              <a:gd name="connsiteY5" fmla="*/ 292554 h 571500"/>
              <a:gd name="connsiteX0" fmla="*/ 0 w 1367518"/>
              <a:gd name="connsiteY0" fmla="*/ 0 h 571500"/>
              <a:gd name="connsiteX1" fmla="*/ 340179 w 1367518"/>
              <a:gd name="connsiteY1" fmla="*/ 0 h 571500"/>
              <a:gd name="connsiteX2" fmla="*/ 340178 w 1367518"/>
              <a:gd name="connsiteY2" fmla="*/ 571500 h 571500"/>
              <a:gd name="connsiteX3" fmla="*/ 1020535 w 1367518"/>
              <a:gd name="connsiteY3" fmla="*/ 571500 h 571500"/>
              <a:gd name="connsiteX4" fmla="*/ 1020535 w 1367518"/>
              <a:gd name="connsiteY4" fmla="*/ 285750 h 571500"/>
              <a:gd name="connsiteX5" fmla="*/ 1367518 w 1367518"/>
              <a:gd name="connsiteY5" fmla="*/ 292554 h 571500"/>
              <a:gd name="connsiteX0" fmla="*/ 0 w 1360713"/>
              <a:gd name="connsiteY0" fmla="*/ 0 h 571500"/>
              <a:gd name="connsiteX1" fmla="*/ 340179 w 1360713"/>
              <a:gd name="connsiteY1" fmla="*/ 0 h 571500"/>
              <a:gd name="connsiteX2" fmla="*/ 340178 w 1360713"/>
              <a:gd name="connsiteY2" fmla="*/ 571500 h 571500"/>
              <a:gd name="connsiteX3" fmla="*/ 1020535 w 1360713"/>
              <a:gd name="connsiteY3" fmla="*/ 571500 h 571500"/>
              <a:gd name="connsiteX4" fmla="*/ 1020535 w 1360713"/>
              <a:gd name="connsiteY4" fmla="*/ 285750 h 571500"/>
              <a:gd name="connsiteX5" fmla="*/ 1360713 w 1360713"/>
              <a:gd name="connsiteY5" fmla="*/ 285750 h 5715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1360713" h="571500">
                <a:moveTo>
                  <a:pt x="0" y="0"/>
                </a:moveTo>
                <a:lnTo>
                  <a:pt x="340179" y="0"/>
                </a:lnTo>
                <a:cubicBezTo>
                  <a:pt x="342447" y="188232"/>
                  <a:pt x="337910" y="383268"/>
                  <a:pt x="340178" y="571500"/>
                </a:cubicBezTo>
                <a:lnTo>
                  <a:pt x="1020535" y="571500"/>
                </a:lnTo>
                <a:lnTo>
                  <a:pt x="1020535" y="285750"/>
                </a:lnTo>
                <a:lnTo>
                  <a:pt x="1360713" y="28575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3" name="Rectangle 202">
            <a:extLst>
              <a:ext uri="{FF2B5EF4-FFF2-40B4-BE49-F238E27FC236}">
                <a16:creationId xmlns:a16="http://schemas.microsoft.com/office/drawing/2014/main" id="{00000000-0008-0000-0100-0000CB000000}"/>
              </a:ext>
            </a:extLst>
          </xdr:cNvPr>
          <xdr:cNvSpPr/>
        </xdr:nvSpPr>
        <xdr:spPr>
          <a:xfrm>
            <a:off x="1208942" y="2703634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04" name="Rectangle 203">
            <a:extLst>
              <a:ext uri="{FF2B5EF4-FFF2-40B4-BE49-F238E27FC236}">
                <a16:creationId xmlns:a16="http://schemas.microsoft.com/office/drawing/2014/main" id="{00000000-0008-0000-0100-0000CC000000}"/>
              </a:ext>
            </a:extLst>
          </xdr:cNvPr>
          <xdr:cNvSpPr/>
        </xdr:nvSpPr>
        <xdr:spPr>
          <a:xfrm>
            <a:off x="2212730" y="2996711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100-0000CD000000}"/>
              </a:ext>
            </a:extLst>
          </xdr:cNvPr>
          <xdr:cNvSpPr/>
        </xdr:nvSpPr>
        <xdr:spPr>
          <a:xfrm>
            <a:off x="1707173" y="3245826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06" name="Rectangle 205">
            <a:extLst>
              <a:ext uri="{FF2B5EF4-FFF2-40B4-BE49-F238E27FC236}">
                <a16:creationId xmlns:a16="http://schemas.microsoft.com/office/drawing/2014/main" id="{00000000-0008-0000-0100-0000CE000000}"/>
              </a:ext>
            </a:extLst>
          </xdr:cNvPr>
          <xdr:cNvSpPr/>
        </xdr:nvSpPr>
        <xdr:spPr>
          <a:xfrm rot="16200000">
            <a:off x="1267558" y="3077307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07" name="Rectangle 206">
            <a:extLst>
              <a:ext uri="{FF2B5EF4-FFF2-40B4-BE49-F238E27FC236}">
                <a16:creationId xmlns:a16="http://schemas.microsoft.com/office/drawing/2014/main" id="{00000000-0008-0000-0100-0000CF000000}"/>
              </a:ext>
            </a:extLst>
          </xdr:cNvPr>
          <xdr:cNvSpPr/>
        </xdr:nvSpPr>
        <xdr:spPr>
          <a:xfrm rot="16200000">
            <a:off x="2154117" y="3209192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608135</xdr:colOff>
      <xdr:row>29</xdr:row>
      <xdr:rowOff>117231</xdr:rowOff>
    </xdr:from>
    <xdr:to>
      <xdr:col>1</xdr:col>
      <xdr:colOff>1817482</xdr:colOff>
      <xdr:row>29</xdr:row>
      <xdr:rowOff>754674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100-0000D0000000}"/>
            </a:ext>
          </a:extLst>
        </xdr:cNvPr>
        <xdr:cNvGrpSpPr/>
      </xdr:nvGrpSpPr>
      <xdr:grpSpPr>
        <a:xfrm>
          <a:off x="1230435" y="24012281"/>
          <a:ext cx="1209347" cy="637443"/>
          <a:chOff x="1150329" y="190500"/>
          <a:chExt cx="1209347" cy="637443"/>
        </a:xfrm>
      </xdr:grpSpPr>
      <xdr:sp macro="" textlink="">
        <xdr:nvSpPr>
          <xdr:cNvPr id="209" name="Rounded Rectangle 45">
            <a:extLst>
              <a:ext uri="{FF2B5EF4-FFF2-40B4-BE49-F238E27FC236}">
                <a16:creationId xmlns:a16="http://schemas.microsoft.com/office/drawing/2014/main" id="{00000000-0008-0000-0100-0000D1000000}"/>
              </a:ext>
            </a:extLst>
          </xdr:cNvPr>
          <xdr:cNvSpPr/>
        </xdr:nvSpPr>
        <xdr:spPr>
          <a:xfrm>
            <a:off x="1343676" y="356657"/>
            <a:ext cx="1016000" cy="455083"/>
          </a:xfrm>
          <a:custGeom>
            <a:avLst/>
            <a:gdLst>
              <a:gd name="connsiteX0" fmla="*/ 0 w 1360714"/>
              <a:gd name="connsiteY0" fmla="*/ 54430 h 571500"/>
              <a:gd name="connsiteX1" fmla="*/ 54430 w 1360714"/>
              <a:gd name="connsiteY1" fmla="*/ 0 h 571500"/>
              <a:gd name="connsiteX2" fmla="*/ 1306284 w 1360714"/>
              <a:gd name="connsiteY2" fmla="*/ 0 h 571500"/>
              <a:gd name="connsiteX3" fmla="*/ 1360714 w 1360714"/>
              <a:gd name="connsiteY3" fmla="*/ 54430 h 571500"/>
              <a:gd name="connsiteX4" fmla="*/ 1360714 w 1360714"/>
              <a:gd name="connsiteY4" fmla="*/ 517070 h 571500"/>
              <a:gd name="connsiteX5" fmla="*/ 1306284 w 1360714"/>
              <a:gd name="connsiteY5" fmla="*/ 571500 h 571500"/>
              <a:gd name="connsiteX6" fmla="*/ 54430 w 1360714"/>
              <a:gd name="connsiteY6" fmla="*/ 571500 h 571500"/>
              <a:gd name="connsiteX7" fmla="*/ 0 w 1360714"/>
              <a:gd name="connsiteY7" fmla="*/ 517070 h 571500"/>
              <a:gd name="connsiteX8" fmla="*/ 0 w 1360714"/>
              <a:gd name="connsiteY8" fmla="*/ 54430 h 571500"/>
              <a:gd name="connsiteX0" fmla="*/ 1306284 w 1397724"/>
              <a:gd name="connsiteY0" fmla="*/ 0 h 571500"/>
              <a:gd name="connsiteX1" fmla="*/ 1360714 w 1397724"/>
              <a:gd name="connsiteY1" fmla="*/ 54430 h 571500"/>
              <a:gd name="connsiteX2" fmla="*/ 1360714 w 1397724"/>
              <a:gd name="connsiteY2" fmla="*/ 517070 h 571500"/>
              <a:gd name="connsiteX3" fmla="*/ 1306284 w 1397724"/>
              <a:gd name="connsiteY3" fmla="*/ 571500 h 571500"/>
              <a:gd name="connsiteX4" fmla="*/ 54430 w 1397724"/>
              <a:gd name="connsiteY4" fmla="*/ 571500 h 571500"/>
              <a:gd name="connsiteX5" fmla="*/ 0 w 1397724"/>
              <a:gd name="connsiteY5" fmla="*/ 517070 h 571500"/>
              <a:gd name="connsiteX6" fmla="*/ 0 w 1397724"/>
              <a:gd name="connsiteY6" fmla="*/ 54430 h 571500"/>
              <a:gd name="connsiteX7" fmla="*/ 54430 w 1397724"/>
              <a:gd name="connsiteY7" fmla="*/ 0 h 571500"/>
              <a:gd name="connsiteX8" fmla="*/ 1397724 w 1397724"/>
              <a:gd name="connsiteY8" fmla="*/ 91440 h 571500"/>
              <a:gd name="connsiteX0" fmla="*/ 1306284 w 1360714"/>
              <a:gd name="connsiteY0" fmla="*/ 0 h 571500"/>
              <a:gd name="connsiteX1" fmla="*/ 1360714 w 1360714"/>
              <a:gd name="connsiteY1" fmla="*/ 54430 h 571500"/>
              <a:gd name="connsiteX2" fmla="*/ 1360714 w 1360714"/>
              <a:gd name="connsiteY2" fmla="*/ 517070 h 571500"/>
              <a:gd name="connsiteX3" fmla="*/ 1306284 w 1360714"/>
              <a:gd name="connsiteY3" fmla="*/ 571500 h 571500"/>
              <a:gd name="connsiteX4" fmla="*/ 54430 w 1360714"/>
              <a:gd name="connsiteY4" fmla="*/ 571500 h 571500"/>
              <a:gd name="connsiteX5" fmla="*/ 0 w 1360714"/>
              <a:gd name="connsiteY5" fmla="*/ 517070 h 571500"/>
              <a:gd name="connsiteX6" fmla="*/ 0 w 1360714"/>
              <a:gd name="connsiteY6" fmla="*/ 54430 h 571500"/>
              <a:gd name="connsiteX7" fmla="*/ 54430 w 1360714"/>
              <a:gd name="connsiteY7" fmla="*/ 0 h 571500"/>
              <a:gd name="connsiteX8" fmla="*/ 340178 w 1360714"/>
              <a:gd name="connsiteY8" fmla="*/ 0 h 571500"/>
              <a:gd name="connsiteX0" fmla="*/ 1306284 w 1360714"/>
              <a:gd name="connsiteY0" fmla="*/ 0 h 571500"/>
              <a:gd name="connsiteX1" fmla="*/ 1360714 w 1360714"/>
              <a:gd name="connsiteY1" fmla="*/ 285750 h 571500"/>
              <a:gd name="connsiteX2" fmla="*/ 1360714 w 1360714"/>
              <a:gd name="connsiteY2" fmla="*/ 517070 h 571500"/>
              <a:gd name="connsiteX3" fmla="*/ 1306284 w 1360714"/>
              <a:gd name="connsiteY3" fmla="*/ 571500 h 571500"/>
              <a:gd name="connsiteX4" fmla="*/ 54430 w 1360714"/>
              <a:gd name="connsiteY4" fmla="*/ 571500 h 571500"/>
              <a:gd name="connsiteX5" fmla="*/ 0 w 1360714"/>
              <a:gd name="connsiteY5" fmla="*/ 517070 h 571500"/>
              <a:gd name="connsiteX6" fmla="*/ 0 w 1360714"/>
              <a:gd name="connsiteY6" fmla="*/ 54430 h 571500"/>
              <a:gd name="connsiteX7" fmla="*/ 54430 w 1360714"/>
              <a:gd name="connsiteY7" fmla="*/ 0 h 571500"/>
              <a:gd name="connsiteX8" fmla="*/ 340178 w 1360714"/>
              <a:gd name="connsiteY8" fmla="*/ 0 h 571500"/>
              <a:gd name="connsiteX0" fmla="*/ 1360714 w 1360714"/>
              <a:gd name="connsiteY0" fmla="*/ 285750 h 571500"/>
              <a:gd name="connsiteX1" fmla="*/ 1360714 w 1360714"/>
              <a:gd name="connsiteY1" fmla="*/ 285750 h 571500"/>
              <a:gd name="connsiteX2" fmla="*/ 1360714 w 1360714"/>
              <a:gd name="connsiteY2" fmla="*/ 517070 h 571500"/>
              <a:gd name="connsiteX3" fmla="*/ 1306284 w 1360714"/>
              <a:gd name="connsiteY3" fmla="*/ 571500 h 571500"/>
              <a:gd name="connsiteX4" fmla="*/ 54430 w 1360714"/>
              <a:gd name="connsiteY4" fmla="*/ 571500 h 571500"/>
              <a:gd name="connsiteX5" fmla="*/ 0 w 1360714"/>
              <a:gd name="connsiteY5" fmla="*/ 517070 h 571500"/>
              <a:gd name="connsiteX6" fmla="*/ 0 w 1360714"/>
              <a:gd name="connsiteY6" fmla="*/ 54430 h 571500"/>
              <a:gd name="connsiteX7" fmla="*/ 54430 w 1360714"/>
              <a:gd name="connsiteY7" fmla="*/ 0 h 571500"/>
              <a:gd name="connsiteX8" fmla="*/ 340178 w 1360714"/>
              <a:gd name="connsiteY8" fmla="*/ 0 h 571500"/>
              <a:gd name="connsiteX0" fmla="*/ 1360714 w 1360714"/>
              <a:gd name="connsiteY0" fmla="*/ 285750 h 571500"/>
              <a:gd name="connsiteX1" fmla="*/ 1360714 w 1360714"/>
              <a:gd name="connsiteY1" fmla="*/ 517070 h 571500"/>
              <a:gd name="connsiteX2" fmla="*/ 1306284 w 1360714"/>
              <a:gd name="connsiteY2" fmla="*/ 571500 h 571500"/>
              <a:gd name="connsiteX3" fmla="*/ 54430 w 1360714"/>
              <a:gd name="connsiteY3" fmla="*/ 571500 h 571500"/>
              <a:gd name="connsiteX4" fmla="*/ 0 w 1360714"/>
              <a:gd name="connsiteY4" fmla="*/ 517070 h 571500"/>
              <a:gd name="connsiteX5" fmla="*/ 0 w 1360714"/>
              <a:gd name="connsiteY5" fmla="*/ 54430 h 571500"/>
              <a:gd name="connsiteX6" fmla="*/ 54430 w 1360714"/>
              <a:gd name="connsiteY6" fmla="*/ 0 h 571500"/>
              <a:gd name="connsiteX7" fmla="*/ 340178 w 1360714"/>
              <a:gd name="connsiteY7" fmla="*/ 0 h 571500"/>
              <a:gd name="connsiteX0" fmla="*/ 1360714 w 1360714"/>
              <a:gd name="connsiteY0" fmla="*/ 517070 h 571500"/>
              <a:gd name="connsiteX1" fmla="*/ 1306284 w 1360714"/>
              <a:gd name="connsiteY1" fmla="*/ 571500 h 571500"/>
              <a:gd name="connsiteX2" fmla="*/ 54430 w 1360714"/>
              <a:gd name="connsiteY2" fmla="*/ 571500 h 571500"/>
              <a:gd name="connsiteX3" fmla="*/ 0 w 1360714"/>
              <a:gd name="connsiteY3" fmla="*/ 517070 h 571500"/>
              <a:gd name="connsiteX4" fmla="*/ 0 w 1360714"/>
              <a:gd name="connsiteY4" fmla="*/ 54430 h 571500"/>
              <a:gd name="connsiteX5" fmla="*/ 54430 w 1360714"/>
              <a:gd name="connsiteY5" fmla="*/ 0 h 571500"/>
              <a:gd name="connsiteX6" fmla="*/ 340178 w 1360714"/>
              <a:gd name="connsiteY6" fmla="*/ 0 h 571500"/>
              <a:gd name="connsiteX0" fmla="*/ 1306284 w 1306284"/>
              <a:gd name="connsiteY0" fmla="*/ 571500 h 571500"/>
              <a:gd name="connsiteX1" fmla="*/ 54430 w 1306284"/>
              <a:gd name="connsiteY1" fmla="*/ 571500 h 571500"/>
              <a:gd name="connsiteX2" fmla="*/ 0 w 1306284"/>
              <a:gd name="connsiteY2" fmla="*/ 517070 h 571500"/>
              <a:gd name="connsiteX3" fmla="*/ 0 w 1306284"/>
              <a:gd name="connsiteY3" fmla="*/ 54430 h 571500"/>
              <a:gd name="connsiteX4" fmla="*/ 54430 w 1306284"/>
              <a:gd name="connsiteY4" fmla="*/ 0 h 571500"/>
              <a:gd name="connsiteX5" fmla="*/ 340178 w 1306284"/>
              <a:gd name="connsiteY5" fmla="*/ 0 h 571500"/>
              <a:gd name="connsiteX0" fmla="*/ 1020535 w 1020535"/>
              <a:gd name="connsiteY0" fmla="*/ 571500 h 571500"/>
              <a:gd name="connsiteX1" fmla="*/ 54430 w 1020535"/>
              <a:gd name="connsiteY1" fmla="*/ 571500 h 571500"/>
              <a:gd name="connsiteX2" fmla="*/ 0 w 1020535"/>
              <a:gd name="connsiteY2" fmla="*/ 517070 h 571500"/>
              <a:gd name="connsiteX3" fmla="*/ 0 w 1020535"/>
              <a:gd name="connsiteY3" fmla="*/ 54430 h 571500"/>
              <a:gd name="connsiteX4" fmla="*/ 54430 w 1020535"/>
              <a:gd name="connsiteY4" fmla="*/ 0 h 571500"/>
              <a:gd name="connsiteX5" fmla="*/ 340178 w 1020535"/>
              <a:gd name="connsiteY5" fmla="*/ 0 h 571500"/>
              <a:gd name="connsiteX0" fmla="*/ 1020535 w 1020535"/>
              <a:gd name="connsiteY0" fmla="*/ 571500 h 571500"/>
              <a:gd name="connsiteX1" fmla="*/ 979714 w 1020535"/>
              <a:gd name="connsiteY1" fmla="*/ 571500 h 571500"/>
              <a:gd name="connsiteX2" fmla="*/ 54430 w 1020535"/>
              <a:gd name="connsiteY2" fmla="*/ 571500 h 571500"/>
              <a:gd name="connsiteX3" fmla="*/ 0 w 1020535"/>
              <a:gd name="connsiteY3" fmla="*/ 517070 h 571500"/>
              <a:gd name="connsiteX4" fmla="*/ 0 w 1020535"/>
              <a:gd name="connsiteY4" fmla="*/ 54430 h 571500"/>
              <a:gd name="connsiteX5" fmla="*/ 54430 w 1020535"/>
              <a:gd name="connsiteY5" fmla="*/ 0 h 571500"/>
              <a:gd name="connsiteX6" fmla="*/ 340178 w 1020535"/>
              <a:gd name="connsiteY6" fmla="*/ 0 h 571500"/>
              <a:gd name="connsiteX0" fmla="*/ 1360714 w 1360714"/>
              <a:gd name="connsiteY0" fmla="*/ 285750 h 571500"/>
              <a:gd name="connsiteX1" fmla="*/ 979714 w 1360714"/>
              <a:gd name="connsiteY1" fmla="*/ 571500 h 571500"/>
              <a:gd name="connsiteX2" fmla="*/ 54430 w 1360714"/>
              <a:gd name="connsiteY2" fmla="*/ 571500 h 571500"/>
              <a:gd name="connsiteX3" fmla="*/ 0 w 1360714"/>
              <a:gd name="connsiteY3" fmla="*/ 517070 h 571500"/>
              <a:gd name="connsiteX4" fmla="*/ 0 w 1360714"/>
              <a:gd name="connsiteY4" fmla="*/ 54430 h 571500"/>
              <a:gd name="connsiteX5" fmla="*/ 54430 w 1360714"/>
              <a:gd name="connsiteY5" fmla="*/ 0 h 571500"/>
              <a:gd name="connsiteX6" fmla="*/ 340178 w 1360714"/>
              <a:gd name="connsiteY6" fmla="*/ 0 h 571500"/>
              <a:gd name="connsiteX0" fmla="*/ 1360714 w 1360714"/>
              <a:gd name="connsiteY0" fmla="*/ 285750 h 571500"/>
              <a:gd name="connsiteX1" fmla="*/ 1020535 w 1360714"/>
              <a:gd name="connsiteY1" fmla="*/ 571500 h 571500"/>
              <a:gd name="connsiteX2" fmla="*/ 54430 w 1360714"/>
              <a:gd name="connsiteY2" fmla="*/ 571500 h 571500"/>
              <a:gd name="connsiteX3" fmla="*/ 0 w 1360714"/>
              <a:gd name="connsiteY3" fmla="*/ 517070 h 571500"/>
              <a:gd name="connsiteX4" fmla="*/ 0 w 1360714"/>
              <a:gd name="connsiteY4" fmla="*/ 54430 h 571500"/>
              <a:gd name="connsiteX5" fmla="*/ 54430 w 1360714"/>
              <a:gd name="connsiteY5" fmla="*/ 0 h 571500"/>
              <a:gd name="connsiteX6" fmla="*/ 340178 w 1360714"/>
              <a:gd name="connsiteY6" fmla="*/ 0 h 5715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1360714" h="571500">
                <a:moveTo>
                  <a:pt x="1360714" y="285750"/>
                </a:moveTo>
                <a:lnTo>
                  <a:pt x="1020535" y="571500"/>
                </a:lnTo>
                <a:lnTo>
                  <a:pt x="54430" y="571500"/>
                </a:lnTo>
                <a:cubicBezTo>
                  <a:pt x="24369" y="571500"/>
                  <a:pt x="0" y="547131"/>
                  <a:pt x="0" y="517070"/>
                </a:cubicBezTo>
                <a:lnTo>
                  <a:pt x="0" y="54430"/>
                </a:lnTo>
                <a:cubicBezTo>
                  <a:pt x="0" y="24369"/>
                  <a:pt x="24369" y="0"/>
                  <a:pt x="54430" y="0"/>
                </a:cubicBezTo>
                <a:lnTo>
                  <a:pt x="340178" y="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0" name="Rectangle 209">
            <a:extLst>
              <a:ext uri="{FF2B5EF4-FFF2-40B4-BE49-F238E27FC236}">
                <a16:creationId xmlns:a16="http://schemas.microsoft.com/office/drawing/2014/main" id="{00000000-0008-0000-0100-0000D2000000}"/>
              </a:ext>
            </a:extLst>
          </xdr:cNvPr>
          <xdr:cNvSpPr/>
        </xdr:nvSpPr>
        <xdr:spPr>
          <a:xfrm>
            <a:off x="1333501" y="190500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100-0000D3000000}"/>
              </a:ext>
            </a:extLst>
          </xdr:cNvPr>
          <xdr:cNvSpPr/>
        </xdr:nvSpPr>
        <xdr:spPr>
          <a:xfrm rot="16200000">
            <a:off x="1106368" y="505558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12" name="Rectangle 211">
            <a:extLst>
              <a:ext uri="{FF2B5EF4-FFF2-40B4-BE49-F238E27FC236}">
                <a16:creationId xmlns:a16="http://schemas.microsoft.com/office/drawing/2014/main" id="{00000000-0008-0000-0100-0000D4000000}"/>
              </a:ext>
            </a:extLst>
          </xdr:cNvPr>
          <xdr:cNvSpPr/>
        </xdr:nvSpPr>
        <xdr:spPr>
          <a:xfrm>
            <a:off x="1589943" y="630116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13" name="Rectangle 212">
            <a:extLst>
              <a:ext uri="{FF2B5EF4-FFF2-40B4-BE49-F238E27FC236}">
                <a16:creationId xmlns:a16="http://schemas.microsoft.com/office/drawing/2014/main" id="{00000000-0008-0000-0100-0000D5000000}"/>
              </a:ext>
            </a:extLst>
          </xdr:cNvPr>
          <xdr:cNvSpPr/>
        </xdr:nvSpPr>
        <xdr:spPr>
          <a:xfrm rot="19051750">
            <a:off x="2058867" y="534866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454270</xdr:colOff>
      <xdr:row>30</xdr:row>
      <xdr:rowOff>117230</xdr:rowOff>
    </xdr:from>
    <xdr:to>
      <xdr:col>1</xdr:col>
      <xdr:colOff>1946576</xdr:colOff>
      <xdr:row>30</xdr:row>
      <xdr:rowOff>767502</xdr:rowOff>
    </xdr:to>
    <xdr:grpSp>
      <xdr:nvGrpSpPr>
        <xdr:cNvPr id="214" name="Group 213">
          <a:extLst>
            <a:ext uri="{FF2B5EF4-FFF2-40B4-BE49-F238E27FC236}">
              <a16:creationId xmlns:a16="http://schemas.microsoft.com/office/drawing/2014/main" id="{00000000-0008-0000-0100-0000D6000000}"/>
            </a:ext>
          </a:extLst>
        </xdr:cNvPr>
        <xdr:cNvGrpSpPr/>
      </xdr:nvGrpSpPr>
      <xdr:grpSpPr>
        <a:xfrm>
          <a:off x="1076570" y="24850480"/>
          <a:ext cx="1492306" cy="650272"/>
          <a:chOff x="1172309" y="4530203"/>
          <a:chExt cx="1492306" cy="650272"/>
        </a:xfrm>
      </xdr:grpSpPr>
      <xdr:grpSp>
        <xdr:nvGrpSpPr>
          <xdr:cNvPr id="215" name="Group 214">
            <a:extLst>
              <a:ext uri="{FF2B5EF4-FFF2-40B4-BE49-F238E27FC236}">
                <a16:creationId xmlns:a16="http://schemas.microsoft.com/office/drawing/2014/main" id="{00000000-0008-0000-0100-0000D7000000}"/>
              </a:ext>
            </a:extLst>
          </xdr:cNvPr>
          <xdr:cNvGrpSpPr/>
        </xdr:nvGrpSpPr>
        <xdr:grpSpPr>
          <a:xfrm>
            <a:off x="1348153" y="4701832"/>
            <a:ext cx="1121020" cy="447424"/>
            <a:chOff x="1292678" y="2476500"/>
            <a:chExt cx="1415144" cy="571500"/>
          </a:xfrm>
        </xdr:grpSpPr>
        <xdr:sp macro="" textlink="">
          <xdr:nvSpPr>
            <xdr:cNvPr id="221" name="Rounded Rectangle 45">
              <a:extLst>
                <a:ext uri="{FF2B5EF4-FFF2-40B4-BE49-F238E27FC236}">
                  <a16:creationId xmlns:a16="http://schemas.microsoft.com/office/drawing/2014/main" id="{00000000-0008-0000-0100-0000DD000000}"/>
                </a:ext>
              </a:extLst>
            </xdr:cNvPr>
            <xdr:cNvSpPr/>
          </xdr:nvSpPr>
          <xdr:spPr>
            <a:xfrm>
              <a:off x="1292678" y="2476500"/>
              <a:ext cx="1020535" cy="571500"/>
            </a:xfrm>
            <a:custGeom>
              <a:avLst/>
              <a:gdLst>
                <a:gd name="connsiteX0" fmla="*/ 0 w 1360714"/>
                <a:gd name="connsiteY0" fmla="*/ 54430 h 571500"/>
                <a:gd name="connsiteX1" fmla="*/ 54430 w 1360714"/>
                <a:gd name="connsiteY1" fmla="*/ 0 h 571500"/>
                <a:gd name="connsiteX2" fmla="*/ 1306284 w 1360714"/>
                <a:gd name="connsiteY2" fmla="*/ 0 h 571500"/>
                <a:gd name="connsiteX3" fmla="*/ 1360714 w 1360714"/>
                <a:gd name="connsiteY3" fmla="*/ 54430 h 571500"/>
                <a:gd name="connsiteX4" fmla="*/ 1360714 w 1360714"/>
                <a:gd name="connsiteY4" fmla="*/ 517070 h 571500"/>
                <a:gd name="connsiteX5" fmla="*/ 1306284 w 1360714"/>
                <a:gd name="connsiteY5" fmla="*/ 571500 h 571500"/>
                <a:gd name="connsiteX6" fmla="*/ 54430 w 1360714"/>
                <a:gd name="connsiteY6" fmla="*/ 571500 h 571500"/>
                <a:gd name="connsiteX7" fmla="*/ 0 w 1360714"/>
                <a:gd name="connsiteY7" fmla="*/ 517070 h 571500"/>
                <a:gd name="connsiteX8" fmla="*/ 0 w 1360714"/>
                <a:gd name="connsiteY8" fmla="*/ 54430 h 571500"/>
                <a:gd name="connsiteX0" fmla="*/ 1306284 w 1397724"/>
                <a:gd name="connsiteY0" fmla="*/ 0 h 571500"/>
                <a:gd name="connsiteX1" fmla="*/ 1360714 w 1397724"/>
                <a:gd name="connsiteY1" fmla="*/ 54430 h 571500"/>
                <a:gd name="connsiteX2" fmla="*/ 1360714 w 1397724"/>
                <a:gd name="connsiteY2" fmla="*/ 517070 h 571500"/>
                <a:gd name="connsiteX3" fmla="*/ 1306284 w 1397724"/>
                <a:gd name="connsiteY3" fmla="*/ 571500 h 571500"/>
                <a:gd name="connsiteX4" fmla="*/ 54430 w 1397724"/>
                <a:gd name="connsiteY4" fmla="*/ 571500 h 571500"/>
                <a:gd name="connsiteX5" fmla="*/ 0 w 1397724"/>
                <a:gd name="connsiteY5" fmla="*/ 517070 h 571500"/>
                <a:gd name="connsiteX6" fmla="*/ 0 w 1397724"/>
                <a:gd name="connsiteY6" fmla="*/ 54430 h 571500"/>
                <a:gd name="connsiteX7" fmla="*/ 54430 w 1397724"/>
                <a:gd name="connsiteY7" fmla="*/ 0 h 571500"/>
                <a:gd name="connsiteX8" fmla="*/ 1397724 w 1397724"/>
                <a:gd name="connsiteY8" fmla="*/ 91440 h 571500"/>
                <a:gd name="connsiteX0" fmla="*/ 1306284 w 1360714"/>
                <a:gd name="connsiteY0" fmla="*/ 0 h 571500"/>
                <a:gd name="connsiteX1" fmla="*/ 1360714 w 1360714"/>
                <a:gd name="connsiteY1" fmla="*/ 54430 h 571500"/>
                <a:gd name="connsiteX2" fmla="*/ 1360714 w 1360714"/>
                <a:gd name="connsiteY2" fmla="*/ 517070 h 571500"/>
                <a:gd name="connsiteX3" fmla="*/ 1306284 w 1360714"/>
                <a:gd name="connsiteY3" fmla="*/ 571500 h 571500"/>
                <a:gd name="connsiteX4" fmla="*/ 54430 w 1360714"/>
                <a:gd name="connsiteY4" fmla="*/ 571500 h 571500"/>
                <a:gd name="connsiteX5" fmla="*/ 0 w 1360714"/>
                <a:gd name="connsiteY5" fmla="*/ 517070 h 571500"/>
                <a:gd name="connsiteX6" fmla="*/ 0 w 1360714"/>
                <a:gd name="connsiteY6" fmla="*/ 54430 h 571500"/>
                <a:gd name="connsiteX7" fmla="*/ 54430 w 1360714"/>
                <a:gd name="connsiteY7" fmla="*/ 0 h 571500"/>
                <a:gd name="connsiteX8" fmla="*/ 340178 w 1360714"/>
                <a:gd name="connsiteY8" fmla="*/ 0 h 571500"/>
                <a:gd name="connsiteX0" fmla="*/ 1306284 w 1360714"/>
                <a:gd name="connsiteY0" fmla="*/ 0 h 571500"/>
                <a:gd name="connsiteX1" fmla="*/ 1360714 w 1360714"/>
                <a:gd name="connsiteY1" fmla="*/ 285750 h 571500"/>
                <a:gd name="connsiteX2" fmla="*/ 1360714 w 1360714"/>
                <a:gd name="connsiteY2" fmla="*/ 517070 h 571500"/>
                <a:gd name="connsiteX3" fmla="*/ 1306284 w 1360714"/>
                <a:gd name="connsiteY3" fmla="*/ 571500 h 571500"/>
                <a:gd name="connsiteX4" fmla="*/ 54430 w 1360714"/>
                <a:gd name="connsiteY4" fmla="*/ 571500 h 571500"/>
                <a:gd name="connsiteX5" fmla="*/ 0 w 1360714"/>
                <a:gd name="connsiteY5" fmla="*/ 517070 h 571500"/>
                <a:gd name="connsiteX6" fmla="*/ 0 w 1360714"/>
                <a:gd name="connsiteY6" fmla="*/ 54430 h 571500"/>
                <a:gd name="connsiteX7" fmla="*/ 54430 w 1360714"/>
                <a:gd name="connsiteY7" fmla="*/ 0 h 571500"/>
                <a:gd name="connsiteX8" fmla="*/ 340178 w 1360714"/>
                <a:gd name="connsiteY8" fmla="*/ 0 h 571500"/>
                <a:gd name="connsiteX0" fmla="*/ 1360714 w 1360714"/>
                <a:gd name="connsiteY0" fmla="*/ 285750 h 571500"/>
                <a:gd name="connsiteX1" fmla="*/ 1360714 w 1360714"/>
                <a:gd name="connsiteY1" fmla="*/ 285750 h 571500"/>
                <a:gd name="connsiteX2" fmla="*/ 1360714 w 1360714"/>
                <a:gd name="connsiteY2" fmla="*/ 517070 h 571500"/>
                <a:gd name="connsiteX3" fmla="*/ 1306284 w 1360714"/>
                <a:gd name="connsiteY3" fmla="*/ 571500 h 571500"/>
                <a:gd name="connsiteX4" fmla="*/ 54430 w 1360714"/>
                <a:gd name="connsiteY4" fmla="*/ 571500 h 571500"/>
                <a:gd name="connsiteX5" fmla="*/ 0 w 1360714"/>
                <a:gd name="connsiteY5" fmla="*/ 517070 h 571500"/>
                <a:gd name="connsiteX6" fmla="*/ 0 w 1360714"/>
                <a:gd name="connsiteY6" fmla="*/ 54430 h 571500"/>
                <a:gd name="connsiteX7" fmla="*/ 54430 w 1360714"/>
                <a:gd name="connsiteY7" fmla="*/ 0 h 571500"/>
                <a:gd name="connsiteX8" fmla="*/ 340178 w 1360714"/>
                <a:gd name="connsiteY8" fmla="*/ 0 h 571500"/>
                <a:gd name="connsiteX0" fmla="*/ 1360714 w 1360714"/>
                <a:gd name="connsiteY0" fmla="*/ 285750 h 571500"/>
                <a:gd name="connsiteX1" fmla="*/ 1360714 w 1360714"/>
                <a:gd name="connsiteY1" fmla="*/ 517070 h 571500"/>
                <a:gd name="connsiteX2" fmla="*/ 1306284 w 1360714"/>
                <a:gd name="connsiteY2" fmla="*/ 571500 h 571500"/>
                <a:gd name="connsiteX3" fmla="*/ 54430 w 1360714"/>
                <a:gd name="connsiteY3" fmla="*/ 571500 h 571500"/>
                <a:gd name="connsiteX4" fmla="*/ 0 w 1360714"/>
                <a:gd name="connsiteY4" fmla="*/ 517070 h 571500"/>
                <a:gd name="connsiteX5" fmla="*/ 0 w 1360714"/>
                <a:gd name="connsiteY5" fmla="*/ 54430 h 571500"/>
                <a:gd name="connsiteX6" fmla="*/ 54430 w 1360714"/>
                <a:gd name="connsiteY6" fmla="*/ 0 h 571500"/>
                <a:gd name="connsiteX7" fmla="*/ 340178 w 1360714"/>
                <a:gd name="connsiteY7" fmla="*/ 0 h 571500"/>
                <a:gd name="connsiteX0" fmla="*/ 1360714 w 1360714"/>
                <a:gd name="connsiteY0" fmla="*/ 517070 h 571500"/>
                <a:gd name="connsiteX1" fmla="*/ 1306284 w 1360714"/>
                <a:gd name="connsiteY1" fmla="*/ 571500 h 571500"/>
                <a:gd name="connsiteX2" fmla="*/ 54430 w 1360714"/>
                <a:gd name="connsiteY2" fmla="*/ 571500 h 571500"/>
                <a:gd name="connsiteX3" fmla="*/ 0 w 1360714"/>
                <a:gd name="connsiteY3" fmla="*/ 517070 h 571500"/>
                <a:gd name="connsiteX4" fmla="*/ 0 w 1360714"/>
                <a:gd name="connsiteY4" fmla="*/ 54430 h 571500"/>
                <a:gd name="connsiteX5" fmla="*/ 54430 w 1360714"/>
                <a:gd name="connsiteY5" fmla="*/ 0 h 571500"/>
                <a:gd name="connsiteX6" fmla="*/ 340178 w 1360714"/>
                <a:gd name="connsiteY6" fmla="*/ 0 h 571500"/>
                <a:gd name="connsiteX0" fmla="*/ 1306284 w 1306284"/>
                <a:gd name="connsiteY0" fmla="*/ 571500 h 571500"/>
                <a:gd name="connsiteX1" fmla="*/ 54430 w 1306284"/>
                <a:gd name="connsiteY1" fmla="*/ 571500 h 571500"/>
                <a:gd name="connsiteX2" fmla="*/ 0 w 1306284"/>
                <a:gd name="connsiteY2" fmla="*/ 517070 h 571500"/>
                <a:gd name="connsiteX3" fmla="*/ 0 w 1306284"/>
                <a:gd name="connsiteY3" fmla="*/ 54430 h 571500"/>
                <a:gd name="connsiteX4" fmla="*/ 54430 w 1306284"/>
                <a:gd name="connsiteY4" fmla="*/ 0 h 571500"/>
                <a:gd name="connsiteX5" fmla="*/ 340178 w 1306284"/>
                <a:gd name="connsiteY5" fmla="*/ 0 h 571500"/>
                <a:gd name="connsiteX0" fmla="*/ 1020535 w 1020535"/>
                <a:gd name="connsiteY0" fmla="*/ 571500 h 571500"/>
                <a:gd name="connsiteX1" fmla="*/ 54430 w 1020535"/>
                <a:gd name="connsiteY1" fmla="*/ 571500 h 571500"/>
                <a:gd name="connsiteX2" fmla="*/ 0 w 1020535"/>
                <a:gd name="connsiteY2" fmla="*/ 517070 h 571500"/>
                <a:gd name="connsiteX3" fmla="*/ 0 w 1020535"/>
                <a:gd name="connsiteY3" fmla="*/ 54430 h 571500"/>
                <a:gd name="connsiteX4" fmla="*/ 54430 w 1020535"/>
                <a:gd name="connsiteY4" fmla="*/ 0 h 571500"/>
                <a:gd name="connsiteX5" fmla="*/ 340178 w 1020535"/>
                <a:gd name="connsiteY5" fmla="*/ 0 h 5715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1020535" h="571500">
                  <a:moveTo>
                    <a:pt x="1020535" y="571500"/>
                  </a:moveTo>
                  <a:lnTo>
                    <a:pt x="54430" y="571500"/>
                  </a:lnTo>
                  <a:cubicBezTo>
                    <a:pt x="24369" y="571500"/>
                    <a:pt x="0" y="547131"/>
                    <a:pt x="0" y="517070"/>
                  </a:cubicBezTo>
                  <a:lnTo>
                    <a:pt x="0" y="54430"/>
                  </a:lnTo>
                  <a:cubicBezTo>
                    <a:pt x="0" y="24369"/>
                    <a:pt x="24369" y="0"/>
                    <a:pt x="54430" y="0"/>
                  </a:cubicBezTo>
                  <a:lnTo>
                    <a:pt x="340178" y="0"/>
                  </a:lnTo>
                </a:path>
              </a:pathLst>
            </a:cu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2" name="Rounded Rectangle 45">
              <a:extLst>
                <a:ext uri="{FF2B5EF4-FFF2-40B4-BE49-F238E27FC236}">
                  <a16:creationId xmlns:a16="http://schemas.microsoft.com/office/drawing/2014/main" id="{00000000-0008-0000-0100-0000DE000000}"/>
                </a:ext>
              </a:extLst>
            </xdr:cNvPr>
            <xdr:cNvSpPr/>
          </xdr:nvSpPr>
          <xdr:spPr>
            <a:xfrm flipH="1">
              <a:off x="2027464" y="2762250"/>
              <a:ext cx="680358" cy="285750"/>
            </a:xfrm>
            <a:custGeom>
              <a:avLst/>
              <a:gdLst>
                <a:gd name="connsiteX0" fmla="*/ 0 w 1360714"/>
                <a:gd name="connsiteY0" fmla="*/ 54430 h 571500"/>
                <a:gd name="connsiteX1" fmla="*/ 54430 w 1360714"/>
                <a:gd name="connsiteY1" fmla="*/ 0 h 571500"/>
                <a:gd name="connsiteX2" fmla="*/ 1306284 w 1360714"/>
                <a:gd name="connsiteY2" fmla="*/ 0 h 571500"/>
                <a:gd name="connsiteX3" fmla="*/ 1360714 w 1360714"/>
                <a:gd name="connsiteY3" fmla="*/ 54430 h 571500"/>
                <a:gd name="connsiteX4" fmla="*/ 1360714 w 1360714"/>
                <a:gd name="connsiteY4" fmla="*/ 517070 h 571500"/>
                <a:gd name="connsiteX5" fmla="*/ 1306284 w 1360714"/>
                <a:gd name="connsiteY5" fmla="*/ 571500 h 571500"/>
                <a:gd name="connsiteX6" fmla="*/ 54430 w 1360714"/>
                <a:gd name="connsiteY6" fmla="*/ 571500 h 571500"/>
                <a:gd name="connsiteX7" fmla="*/ 0 w 1360714"/>
                <a:gd name="connsiteY7" fmla="*/ 517070 h 571500"/>
                <a:gd name="connsiteX8" fmla="*/ 0 w 1360714"/>
                <a:gd name="connsiteY8" fmla="*/ 54430 h 571500"/>
                <a:gd name="connsiteX0" fmla="*/ 1306284 w 1397724"/>
                <a:gd name="connsiteY0" fmla="*/ 0 h 571500"/>
                <a:gd name="connsiteX1" fmla="*/ 1360714 w 1397724"/>
                <a:gd name="connsiteY1" fmla="*/ 54430 h 571500"/>
                <a:gd name="connsiteX2" fmla="*/ 1360714 w 1397724"/>
                <a:gd name="connsiteY2" fmla="*/ 517070 h 571500"/>
                <a:gd name="connsiteX3" fmla="*/ 1306284 w 1397724"/>
                <a:gd name="connsiteY3" fmla="*/ 571500 h 571500"/>
                <a:gd name="connsiteX4" fmla="*/ 54430 w 1397724"/>
                <a:gd name="connsiteY4" fmla="*/ 571500 h 571500"/>
                <a:gd name="connsiteX5" fmla="*/ 0 w 1397724"/>
                <a:gd name="connsiteY5" fmla="*/ 517070 h 571500"/>
                <a:gd name="connsiteX6" fmla="*/ 0 w 1397724"/>
                <a:gd name="connsiteY6" fmla="*/ 54430 h 571500"/>
                <a:gd name="connsiteX7" fmla="*/ 54430 w 1397724"/>
                <a:gd name="connsiteY7" fmla="*/ 0 h 571500"/>
                <a:gd name="connsiteX8" fmla="*/ 1397724 w 1397724"/>
                <a:gd name="connsiteY8" fmla="*/ 91440 h 571500"/>
                <a:gd name="connsiteX0" fmla="*/ 1306284 w 1360714"/>
                <a:gd name="connsiteY0" fmla="*/ 0 h 571500"/>
                <a:gd name="connsiteX1" fmla="*/ 1360714 w 1360714"/>
                <a:gd name="connsiteY1" fmla="*/ 54430 h 571500"/>
                <a:gd name="connsiteX2" fmla="*/ 1360714 w 1360714"/>
                <a:gd name="connsiteY2" fmla="*/ 517070 h 571500"/>
                <a:gd name="connsiteX3" fmla="*/ 1306284 w 1360714"/>
                <a:gd name="connsiteY3" fmla="*/ 571500 h 571500"/>
                <a:gd name="connsiteX4" fmla="*/ 54430 w 1360714"/>
                <a:gd name="connsiteY4" fmla="*/ 571500 h 571500"/>
                <a:gd name="connsiteX5" fmla="*/ 0 w 1360714"/>
                <a:gd name="connsiteY5" fmla="*/ 517070 h 571500"/>
                <a:gd name="connsiteX6" fmla="*/ 0 w 1360714"/>
                <a:gd name="connsiteY6" fmla="*/ 54430 h 571500"/>
                <a:gd name="connsiteX7" fmla="*/ 54430 w 1360714"/>
                <a:gd name="connsiteY7" fmla="*/ 0 h 571500"/>
                <a:gd name="connsiteX8" fmla="*/ 340178 w 1360714"/>
                <a:gd name="connsiteY8" fmla="*/ 0 h 571500"/>
                <a:gd name="connsiteX0" fmla="*/ 1306284 w 1360714"/>
                <a:gd name="connsiteY0" fmla="*/ 0 h 571500"/>
                <a:gd name="connsiteX1" fmla="*/ 1360714 w 1360714"/>
                <a:gd name="connsiteY1" fmla="*/ 285750 h 571500"/>
                <a:gd name="connsiteX2" fmla="*/ 1360714 w 1360714"/>
                <a:gd name="connsiteY2" fmla="*/ 517070 h 571500"/>
                <a:gd name="connsiteX3" fmla="*/ 1306284 w 1360714"/>
                <a:gd name="connsiteY3" fmla="*/ 571500 h 571500"/>
                <a:gd name="connsiteX4" fmla="*/ 54430 w 1360714"/>
                <a:gd name="connsiteY4" fmla="*/ 571500 h 571500"/>
                <a:gd name="connsiteX5" fmla="*/ 0 w 1360714"/>
                <a:gd name="connsiteY5" fmla="*/ 517070 h 571500"/>
                <a:gd name="connsiteX6" fmla="*/ 0 w 1360714"/>
                <a:gd name="connsiteY6" fmla="*/ 54430 h 571500"/>
                <a:gd name="connsiteX7" fmla="*/ 54430 w 1360714"/>
                <a:gd name="connsiteY7" fmla="*/ 0 h 571500"/>
                <a:gd name="connsiteX8" fmla="*/ 340178 w 1360714"/>
                <a:gd name="connsiteY8" fmla="*/ 0 h 571500"/>
                <a:gd name="connsiteX0" fmla="*/ 1360714 w 1360714"/>
                <a:gd name="connsiteY0" fmla="*/ 285750 h 571500"/>
                <a:gd name="connsiteX1" fmla="*/ 1360714 w 1360714"/>
                <a:gd name="connsiteY1" fmla="*/ 285750 h 571500"/>
                <a:gd name="connsiteX2" fmla="*/ 1360714 w 1360714"/>
                <a:gd name="connsiteY2" fmla="*/ 517070 h 571500"/>
                <a:gd name="connsiteX3" fmla="*/ 1306284 w 1360714"/>
                <a:gd name="connsiteY3" fmla="*/ 571500 h 571500"/>
                <a:gd name="connsiteX4" fmla="*/ 54430 w 1360714"/>
                <a:gd name="connsiteY4" fmla="*/ 571500 h 571500"/>
                <a:gd name="connsiteX5" fmla="*/ 0 w 1360714"/>
                <a:gd name="connsiteY5" fmla="*/ 517070 h 571500"/>
                <a:gd name="connsiteX6" fmla="*/ 0 w 1360714"/>
                <a:gd name="connsiteY6" fmla="*/ 54430 h 571500"/>
                <a:gd name="connsiteX7" fmla="*/ 54430 w 1360714"/>
                <a:gd name="connsiteY7" fmla="*/ 0 h 571500"/>
                <a:gd name="connsiteX8" fmla="*/ 340178 w 1360714"/>
                <a:gd name="connsiteY8" fmla="*/ 0 h 571500"/>
                <a:gd name="connsiteX0" fmla="*/ 1360714 w 1360714"/>
                <a:gd name="connsiteY0" fmla="*/ 285750 h 571500"/>
                <a:gd name="connsiteX1" fmla="*/ 1360714 w 1360714"/>
                <a:gd name="connsiteY1" fmla="*/ 517070 h 571500"/>
                <a:gd name="connsiteX2" fmla="*/ 1306284 w 1360714"/>
                <a:gd name="connsiteY2" fmla="*/ 571500 h 571500"/>
                <a:gd name="connsiteX3" fmla="*/ 54430 w 1360714"/>
                <a:gd name="connsiteY3" fmla="*/ 571500 h 571500"/>
                <a:gd name="connsiteX4" fmla="*/ 0 w 1360714"/>
                <a:gd name="connsiteY4" fmla="*/ 517070 h 571500"/>
                <a:gd name="connsiteX5" fmla="*/ 0 w 1360714"/>
                <a:gd name="connsiteY5" fmla="*/ 54430 h 571500"/>
                <a:gd name="connsiteX6" fmla="*/ 54430 w 1360714"/>
                <a:gd name="connsiteY6" fmla="*/ 0 h 571500"/>
                <a:gd name="connsiteX7" fmla="*/ 340178 w 1360714"/>
                <a:gd name="connsiteY7" fmla="*/ 0 h 571500"/>
                <a:gd name="connsiteX0" fmla="*/ 1360714 w 1360714"/>
                <a:gd name="connsiteY0" fmla="*/ 517070 h 571500"/>
                <a:gd name="connsiteX1" fmla="*/ 1306284 w 1360714"/>
                <a:gd name="connsiteY1" fmla="*/ 571500 h 571500"/>
                <a:gd name="connsiteX2" fmla="*/ 54430 w 1360714"/>
                <a:gd name="connsiteY2" fmla="*/ 571500 h 571500"/>
                <a:gd name="connsiteX3" fmla="*/ 0 w 1360714"/>
                <a:gd name="connsiteY3" fmla="*/ 517070 h 571500"/>
                <a:gd name="connsiteX4" fmla="*/ 0 w 1360714"/>
                <a:gd name="connsiteY4" fmla="*/ 54430 h 571500"/>
                <a:gd name="connsiteX5" fmla="*/ 54430 w 1360714"/>
                <a:gd name="connsiteY5" fmla="*/ 0 h 571500"/>
                <a:gd name="connsiteX6" fmla="*/ 340178 w 1360714"/>
                <a:gd name="connsiteY6" fmla="*/ 0 h 571500"/>
                <a:gd name="connsiteX0" fmla="*/ 1306284 w 1306284"/>
                <a:gd name="connsiteY0" fmla="*/ 571500 h 571500"/>
                <a:gd name="connsiteX1" fmla="*/ 54430 w 1306284"/>
                <a:gd name="connsiteY1" fmla="*/ 571500 h 571500"/>
                <a:gd name="connsiteX2" fmla="*/ 0 w 1306284"/>
                <a:gd name="connsiteY2" fmla="*/ 517070 h 571500"/>
                <a:gd name="connsiteX3" fmla="*/ 0 w 1306284"/>
                <a:gd name="connsiteY3" fmla="*/ 54430 h 571500"/>
                <a:gd name="connsiteX4" fmla="*/ 54430 w 1306284"/>
                <a:gd name="connsiteY4" fmla="*/ 0 h 571500"/>
                <a:gd name="connsiteX5" fmla="*/ 340178 w 1306284"/>
                <a:gd name="connsiteY5" fmla="*/ 0 h 571500"/>
                <a:gd name="connsiteX0" fmla="*/ 1020535 w 1020535"/>
                <a:gd name="connsiteY0" fmla="*/ 571500 h 571500"/>
                <a:gd name="connsiteX1" fmla="*/ 54430 w 1020535"/>
                <a:gd name="connsiteY1" fmla="*/ 571500 h 571500"/>
                <a:gd name="connsiteX2" fmla="*/ 0 w 1020535"/>
                <a:gd name="connsiteY2" fmla="*/ 517070 h 571500"/>
                <a:gd name="connsiteX3" fmla="*/ 0 w 1020535"/>
                <a:gd name="connsiteY3" fmla="*/ 54430 h 571500"/>
                <a:gd name="connsiteX4" fmla="*/ 54430 w 1020535"/>
                <a:gd name="connsiteY4" fmla="*/ 0 h 571500"/>
                <a:gd name="connsiteX5" fmla="*/ 340178 w 1020535"/>
                <a:gd name="connsiteY5" fmla="*/ 0 h 571500"/>
                <a:gd name="connsiteX0" fmla="*/ 680357 w 680357"/>
                <a:gd name="connsiteY0" fmla="*/ 571500 h 571500"/>
                <a:gd name="connsiteX1" fmla="*/ 54430 w 680357"/>
                <a:gd name="connsiteY1" fmla="*/ 571500 h 571500"/>
                <a:gd name="connsiteX2" fmla="*/ 0 w 680357"/>
                <a:gd name="connsiteY2" fmla="*/ 517070 h 571500"/>
                <a:gd name="connsiteX3" fmla="*/ 0 w 680357"/>
                <a:gd name="connsiteY3" fmla="*/ 54430 h 571500"/>
                <a:gd name="connsiteX4" fmla="*/ 54430 w 680357"/>
                <a:gd name="connsiteY4" fmla="*/ 0 h 571500"/>
                <a:gd name="connsiteX5" fmla="*/ 340178 w 680357"/>
                <a:gd name="connsiteY5" fmla="*/ 0 h 5715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680357" h="571500">
                  <a:moveTo>
                    <a:pt x="680357" y="571500"/>
                  </a:moveTo>
                  <a:lnTo>
                    <a:pt x="54430" y="571500"/>
                  </a:lnTo>
                  <a:cubicBezTo>
                    <a:pt x="24369" y="571500"/>
                    <a:pt x="0" y="547131"/>
                    <a:pt x="0" y="517070"/>
                  </a:cubicBezTo>
                  <a:lnTo>
                    <a:pt x="0" y="54430"/>
                  </a:lnTo>
                  <a:cubicBezTo>
                    <a:pt x="0" y="24369"/>
                    <a:pt x="24369" y="0"/>
                    <a:pt x="54430" y="0"/>
                  </a:cubicBezTo>
                  <a:lnTo>
                    <a:pt x="340178" y="0"/>
                  </a:lnTo>
                </a:path>
              </a:pathLst>
            </a:cu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216" name="Rectangle 215">
            <a:extLst>
              <a:ext uri="{FF2B5EF4-FFF2-40B4-BE49-F238E27FC236}">
                <a16:creationId xmlns:a16="http://schemas.microsoft.com/office/drawing/2014/main" id="{00000000-0008-0000-0100-0000D8000000}"/>
              </a:ext>
            </a:extLst>
          </xdr:cNvPr>
          <xdr:cNvSpPr/>
        </xdr:nvSpPr>
        <xdr:spPr>
          <a:xfrm>
            <a:off x="1355482" y="4530203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100-0000D9000000}"/>
              </a:ext>
            </a:extLst>
          </xdr:cNvPr>
          <xdr:cNvSpPr/>
        </xdr:nvSpPr>
        <xdr:spPr>
          <a:xfrm>
            <a:off x="2218594" y="4763199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18" name="Rectangle 217">
            <a:extLst>
              <a:ext uri="{FF2B5EF4-FFF2-40B4-BE49-F238E27FC236}">
                <a16:creationId xmlns:a16="http://schemas.microsoft.com/office/drawing/2014/main" id="{00000000-0008-0000-0100-0000DA000000}"/>
              </a:ext>
            </a:extLst>
          </xdr:cNvPr>
          <xdr:cNvSpPr/>
        </xdr:nvSpPr>
        <xdr:spPr>
          <a:xfrm>
            <a:off x="1792167" y="4988869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19" name="Rectangle 218">
            <a:extLst>
              <a:ext uri="{FF2B5EF4-FFF2-40B4-BE49-F238E27FC236}">
                <a16:creationId xmlns:a16="http://schemas.microsoft.com/office/drawing/2014/main" id="{00000000-0008-0000-0100-0000DB000000}"/>
              </a:ext>
            </a:extLst>
          </xdr:cNvPr>
          <xdr:cNvSpPr/>
        </xdr:nvSpPr>
        <xdr:spPr>
          <a:xfrm rot="16200000">
            <a:off x="1180005" y="4808256"/>
            <a:ext cx="276764" cy="292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100-0000DC000000}"/>
              </a:ext>
            </a:extLst>
          </xdr:cNvPr>
          <xdr:cNvSpPr/>
        </xdr:nvSpPr>
        <xdr:spPr>
          <a:xfrm rot="5400000">
            <a:off x="2428512" y="4935744"/>
            <a:ext cx="276764" cy="19544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1011115</xdr:colOff>
      <xdr:row>15</xdr:row>
      <xdr:rowOff>87924</xdr:rowOff>
    </xdr:from>
    <xdr:to>
      <xdr:col>1</xdr:col>
      <xdr:colOff>1684916</xdr:colOff>
      <xdr:row>15</xdr:row>
      <xdr:rowOff>790724</xdr:rowOff>
    </xdr:to>
    <xdr:grpSp>
      <xdr:nvGrpSpPr>
        <xdr:cNvPr id="223" name="Group 222">
          <a:extLst>
            <a:ext uri="{FF2B5EF4-FFF2-40B4-BE49-F238E27FC236}">
              <a16:creationId xmlns:a16="http://schemas.microsoft.com/office/drawing/2014/main" id="{00000000-0008-0000-0100-0000DF000000}"/>
            </a:ext>
          </a:extLst>
        </xdr:cNvPr>
        <xdr:cNvGrpSpPr/>
      </xdr:nvGrpSpPr>
      <xdr:grpSpPr>
        <a:xfrm>
          <a:off x="1633415" y="12248174"/>
          <a:ext cx="673801" cy="702800"/>
          <a:chOff x="1545981" y="7256728"/>
          <a:chExt cx="673801" cy="702800"/>
        </a:xfrm>
      </xdr:grpSpPr>
      <xdr:grpSp>
        <xdr:nvGrpSpPr>
          <xdr:cNvPr id="224" name="Group 223">
            <a:extLst>
              <a:ext uri="{FF2B5EF4-FFF2-40B4-BE49-F238E27FC236}">
                <a16:creationId xmlns:a16="http://schemas.microsoft.com/office/drawing/2014/main" id="{00000000-0008-0000-0100-0000E0000000}"/>
              </a:ext>
            </a:extLst>
          </xdr:cNvPr>
          <xdr:cNvGrpSpPr/>
        </xdr:nvGrpSpPr>
        <xdr:grpSpPr>
          <a:xfrm>
            <a:off x="1545981" y="7256728"/>
            <a:ext cx="446942" cy="495157"/>
            <a:chOff x="3673927" y="1619250"/>
            <a:chExt cx="1020539" cy="1143001"/>
          </a:xfrm>
        </xdr:grpSpPr>
        <xdr:sp macro="" textlink="">
          <xdr:nvSpPr>
            <xdr:cNvPr id="227" name="Right Bracket 226">
              <a:extLst>
                <a:ext uri="{FF2B5EF4-FFF2-40B4-BE49-F238E27FC236}">
                  <a16:creationId xmlns:a16="http://schemas.microsoft.com/office/drawing/2014/main" id="{00000000-0008-0000-0100-0000E3000000}"/>
                </a:ext>
              </a:extLst>
            </xdr:cNvPr>
            <xdr:cNvSpPr/>
          </xdr:nvSpPr>
          <xdr:spPr>
            <a:xfrm rot="16200000">
              <a:off x="3701142" y="1592035"/>
              <a:ext cx="285750" cy="340180"/>
            </a:xfrm>
            <a:prstGeom prst="rightBracket">
              <a:avLst>
                <a:gd name="adj" fmla="val 69444"/>
              </a:avLst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8" name="Rounded Rectangle 5">
              <a:extLst>
                <a:ext uri="{FF2B5EF4-FFF2-40B4-BE49-F238E27FC236}">
                  <a16:creationId xmlns:a16="http://schemas.microsoft.com/office/drawing/2014/main" id="{00000000-0008-0000-0100-0000E4000000}"/>
                </a:ext>
              </a:extLst>
            </xdr:cNvPr>
            <xdr:cNvSpPr/>
          </xdr:nvSpPr>
          <xdr:spPr>
            <a:xfrm>
              <a:off x="3673929" y="1905001"/>
              <a:ext cx="1020535" cy="857250"/>
            </a:xfrm>
            <a:custGeom>
              <a:avLst/>
              <a:gdLst>
                <a:gd name="connsiteX0" fmla="*/ 0 w 1020535"/>
                <a:gd name="connsiteY0" fmla="*/ 61233 h 857250"/>
                <a:gd name="connsiteX1" fmla="*/ 61233 w 1020535"/>
                <a:gd name="connsiteY1" fmla="*/ 0 h 857250"/>
                <a:gd name="connsiteX2" fmla="*/ 959302 w 1020535"/>
                <a:gd name="connsiteY2" fmla="*/ 0 h 857250"/>
                <a:gd name="connsiteX3" fmla="*/ 1020535 w 1020535"/>
                <a:gd name="connsiteY3" fmla="*/ 61233 h 857250"/>
                <a:gd name="connsiteX4" fmla="*/ 1020535 w 1020535"/>
                <a:gd name="connsiteY4" fmla="*/ 796017 h 857250"/>
                <a:gd name="connsiteX5" fmla="*/ 959302 w 1020535"/>
                <a:gd name="connsiteY5" fmla="*/ 857250 h 857250"/>
                <a:gd name="connsiteX6" fmla="*/ 61233 w 1020535"/>
                <a:gd name="connsiteY6" fmla="*/ 857250 h 857250"/>
                <a:gd name="connsiteX7" fmla="*/ 0 w 1020535"/>
                <a:gd name="connsiteY7" fmla="*/ 796017 h 857250"/>
                <a:gd name="connsiteX8" fmla="*/ 0 w 1020535"/>
                <a:gd name="connsiteY8" fmla="*/ 61233 h 857250"/>
                <a:gd name="connsiteX0" fmla="*/ 0 w 1020535"/>
                <a:gd name="connsiteY0" fmla="*/ 80439 h 876456"/>
                <a:gd name="connsiteX1" fmla="*/ 959302 w 1020535"/>
                <a:gd name="connsiteY1" fmla="*/ 19206 h 876456"/>
                <a:gd name="connsiteX2" fmla="*/ 1020535 w 1020535"/>
                <a:gd name="connsiteY2" fmla="*/ 80439 h 876456"/>
                <a:gd name="connsiteX3" fmla="*/ 1020535 w 1020535"/>
                <a:gd name="connsiteY3" fmla="*/ 815223 h 876456"/>
                <a:gd name="connsiteX4" fmla="*/ 959302 w 1020535"/>
                <a:gd name="connsiteY4" fmla="*/ 876456 h 876456"/>
                <a:gd name="connsiteX5" fmla="*/ 61233 w 1020535"/>
                <a:gd name="connsiteY5" fmla="*/ 876456 h 876456"/>
                <a:gd name="connsiteX6" fmla="*/ 0 w 1020535"/>
                <a:gd name="connsiteY6" fmla="*/ 815223 h 876456"/>
                <a:gd name="connsiteX7" fmla="*/ 0 w 1020535"/>
                <a:gd name="connsiteY7" fmla="*/ 80439 h 876456"/>
                <a:gd name="connsiteX0" fmla="*/ 959302 w 1050742"/>
                <a:gd name="connsiteY0" fmla="*/ 11790 h 869040"/>
                <a:gd name="connsiteX1" fmla="*/ 1020535 w 1050742"/>
                <a:gd name="connsiteY1" fmla="*/ 73023 h 869040"/>
                <a:gd name="connsiteX2" fmla="*/ 1020535 w 1050742"/>
                <a:gd name="connsiteY2" fmla="*/ 807807 h 869040"/>
                <a:gd name="connsiteX3" fmla="*/ 959302 w 1050742"/>
                <a:gd name="connsiteY3" fmla="*/ 869040 h 869040"/>
                <a:gd name="connsiteX4" fmla="*/ 61233 w 1050742"/>
                <a:gd name="connsiteY4" fmla="*/ 869040 h 869040"/>
                <a:gd name="connsiteX5" fmla="*/ 0 w 1050742"/>
                <a:gd name="connsiteY5" fmla="*/ 807807 h 869040"/>
                <a:gd name="connsiteX6" fmla="*/ 0 w 1050742"/>
                <a:gd name="connsiteY6" fmla="*/ 73023 h 869040"/>
                <a:gd name="connsiteX7" fmla="*/ 1050742 w 1050742"/>
                <a:gd name="connsiteY7" fmla="*/ 103230 h 869040"/>
                <a:gd name="connsiteX0" fmla="*/ 959302 w 1020535"/>
                <a:gd name="connsiteY0" fmla="*/ 56185 h 913435"/>
                <a:gd name="connsiteX1" fmla="*/ 1020535 w 1020535"/>
                <a:gd name="connsiteY1" fmla="*/ 117418 h 913435"/>
                <a:gd name="connsiteX2" fmla="*/ 1020535 w 1020535"/>
                <a:gd name="connsiteY2" fmla="*/ 852202 h 913435"/>
                <a:gd name="connsiteX3" fmla="*/ 959302 w 1020535"/>
                <a:gd name="connsiteY3" fmla="*/ 913435 h 913435"/>
                <a:gd name="connsiteX4" fmla="*/ 61233 w 1020535"/>
                <a:gd name="connsiteY4" fmla="*/ 913435 h 913435"/>
                <a:gd name="connsiteX5" fmla="*/ 0 w 1020535"/>
                <a:gd name="connsiteY5" fmla="*/ 852202 h 913435"/>
                <a:gd name="connsiteX6" fmla="*/ 0 w 1020535"/>
                <a:gd name="connsiteY6" fmla="*/ 117418 h 913435"/>
                <a:gd name="connsiteX7" fmla="*/ 680356 w 1020535"/>
                <a:gd name="connsiteY7" fmla="*/ 56185 h 913435"/>
                <a:gd name="connsiteX0" fmla="*/ 959302 w 1020535"/>
                <a:gd name="connsiteY0" fmla="*/ 0 h 857250"/>
                <a:gd name="connsiteX1" fmla="*/ 1020535 w 1020535"/>
                <a:gd name="connsiteY1" fmla="*/ 61233 h 857250"/>
                <a:gd name="connsiteX2" fmla="*/ 1020535 w 1020535"/>
                <a:gd name="connsiteY2" fmla="*/ 796017 h 857250"/>
                <a:gd name="connsiteX3" fmla="*/ 959302 w 1020535"/>
                <a:gd name="connsiteY3" fmla="*/ 857250 h 857250"/>
                <a:gd name="connsiteX4" fmla="*/ 61233 w 1020535"/>
                <a:gd name="connsiteY4" fmla="*/ 857250 h 857250"/>
                <a:gd name="connsiteX5" fmla="*/ 0 w 1020535"/>
                <a:gd name="connsiteY5" fmla="*/ 796017 h 857250"/>
                <a:gd name="connsiteX6" fmla="*/ 0 w 1020535"/>
                <a:gd name="connsiteY6" fmla="*/ 61233 h 857250"/>
                <a:gd name="connsiteX0" fmla="*/ 1020535 w 1020535"/>
                <a:gd name="connsiteY0" fmla="*/ 0 h 796017"/>
                <a:gd name="connsiteX1" fmla="*/ 1020535 w 1020535"/>
                <a:gd name="connsiteY1" fmla="*/ 734784 h 796017"/>
                <a:gd name="connsiteX2" fmla="*/ 959302 w 1020535"/>
                <a:gd name="connsiteY2" fmla="*/ 796017 h 796017"/>
                <a:gd name="connsiteX3" fmla="*/ 61233 w 1020535"/>
                <a:gd name="connsiteY3" fmla="*/ 796017 h 796017"/>
                <a:gd name="connsiteX4" fmla="*/ 0 w 1020535"/>
                <a:gd name="connsiteY4" fmla="*/ 734784 h 796017"/>
                <a:gd name="connsiteX5" fmla="*/ 0 w 1020535"/>
                <a:gd name="connsiteY5" fmla="*/ 0 h 79601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1020535" h="796017">
                  <a:moveTo>
                    <a:pt x="1020535" y="0"/>
                  </a:moveTo>
                  <a:lnTo>
                    <a:pt x="1020535" y="734784"/>
                  </a:lnTo>
                  <a:cubicBezTo>
                    <a:pt x="1020535" y="768602"/>
                    <a:pt x="993120" y="796017"/>
                    <a:pt x="959302" y="796017"/>
                  </a:cubicBezTo>
                  <a:lnTo>
                    <a:pt x="61233" y="796017"/>
                  </a:lnTo>
                  <a:cubicBezTo>
                    <a:pt x="27415" y="796017"/>
                    <a:pt x="0" y="768602"/>
                    <a:pt x="0" y="734784"/>
                  </a:cubicBezTo>
                  <a:lnTo>
                    <a:pt x="0" y="0"/>
                  </a:lnTo>
                </a:path>
              </a:pathLst>
            </a:custGeom>
            <a:noFill/>
            <a:ln w="19050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9" name="Right Bracket 228">
              <a:extLst>
                <a:ext uri="{FF2B5EF4-FFF2-40B4-BE49-F238E27FC236}">
                  <a16:creationId xmlns:a16="http://schemas.microsoft.com/office/drawing/2014/main" id="{00000000-0008-0000-0100-0000E5000000}"/>
                </a:ext>
              </a:extLst>
            </xdr:cNvPr>
            <xdr:cNvSpPr/>
          </xdr:nvSpPr>
          <xdr:spPr>
            <a:xfrm rot="16200000">
              <a:off x="4381501" y="1592035"/>
              <a:ext cx="285750" cy="340180"/>
            </a:xfrm>
            <a:prstGeom prst="rightBracket">
              <a:avLst>
                <a:gd name="adj" fmla="val 69444"/>
              </a:avLst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225" name="Rectangle 224">
            <a:extLst>
              <a:ext uri="{FF2B5EF4-FFF2-40B4-BE49-F238E27FC236}">
                <a16:creationId xmlns:a16="http://schemas.microsoft.com/office/drawing/2014/main" id="{00000000-0008-0000-0100-0000E1000000}"/>
              </a:ext>
            </a:extLst>
          </xdr:cNvPr>
          <xdr:cNvSpPr/>
        </xdr:nvSpPr>
        <xdr:spPr>
          <a:xfrm rot="16200000">
            <a:off x="1985597" y="7444154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100-0000E2000000}"/>
              </a:ext>
            </a:extLst>
          </xdr:cNvPr>
          <xdr:cNvSpPr/>
        </xdr:nvSpPr>
        <xdr:spPr>
          <a:xfrm>
            <a:off x="1654503" y="7767922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446942</xdr:colOff>
      <xdr:row>35</xdr:row>
      <xdr:rowOff>830323</xdr:rowOff>
    </xdr:from>
    <xdr:to>
      <xdr:col>1</xdr:col>
      <xdr:colOff>1692519</xdr:colOff>
      <xdr:row>36</xdr:row>
      <xdr:rowOff>820255</xdr:rowOff>
    </xdr:to>
    <xdr:grpSp>
      <xdr:nvGrpSpPr>
        <xdr:cNvPr id="230" name="Group 229">
          <a:extLst>
            <a:ext uri="{FF2B5EF4-FFF2-40B4-BE49-F238E27FC236}">
              <a16:creationId xmlns:a16="http://schemas.microsoft.com/office/drawing/2014/main" id="{00000000-0008-0000-0100-0000E6000000}"/>
            </a:ext>
          </a:extLst>
        </xdr:cNvPr>
        <xdr:cNvGrpSpPr/>
      </xdr:nvGrpSpPr>
      <xdr:grpSpPr>
        <a:xfrm>
          <a:off x="1069242" y="29754573"/>
          <a:ext cx="1245577" cy="828132"/>
          <a:chOff x="1062405" y="5314183"/>
          <a:chExt cx="1260229" cy="834909"/>
        </a:xfrm>
      </xdr:grpSpPr>
      <xdr:grpSp>
        <xdr:nvGrpSpPr>
          <xdr:cNvPr id="231" name="Group 230">
            <a:extLst>
              <a:ext uri="{FF2B5EF4-FFF2-40B4-BE49-F238E27FC236}">
                <a16:creationId xmlns:a16="http://schemas.microsoft.com/office/drawing/2014/main" id="{00000000-0008-0000-0100-0000E7000000}"/>
              </a:ext>
            </a:extLst>
          </xdr:cNvPr>
          <xdr:cNvGrpSpPr/>
        </xdr:nvGrpSpPr>
        <xdr:grpSpPr>
          <a:xfrm>
            <a:off x="1239217" y="5480538"/>
            <a:ext cx="900243" cy="482698"/>
            <a:chOff x="965199" y="2476500"/>
            <a:chExt cx="1701801" cy="857348"/>
          </a:xfrm>
        </xdr:grpSpPr>
        <xdr:grpSp>
          <xdr:nvGrpSpPr>
            <xdr:cNvPr id="236" name="Group 235">
              <a:extLst>
                <a:ext uri="{FF2B5EF4-FFF2-40B4-BE49-F238E27FC236}">
                  <a16:creationId xmlns:a16="http://schemas.microsoft.com/office/drawing/2014/main" id="{00000000-0008-0000-0100-0000EC000000}"/>
                </a:ext>
              </a:extLst>
            </xdr:cNvPr>
            <xdr:cNvGrpSpPr/>
          </xdr:nvGrpSpPr>
          <xdr:grpSpPr>
            <a:xfrm>
              <a:off x="1742194" y="2476500"/>
              <a:ext cx="924806" cy="857348"/>
              <a:chOff x="1291526" y="1041292"/>
              <a:chExt cx="1356145" cy="1130184"/>
            </a:xfrm>
          </xdr:grpSpPr>
          <xdr:sp macro="" textlink="">
            <xdr:nvSpPr>
              <xdr:cNvPr id="238" name="Rectangle 37">
                <a:extLst>
                  <a:ext uri="{FF2B5EF4-FFF2-40B4-BE49-F238E27FC236}">
                    <a16:creationId xmlns:a16="http://schemas.microsoft.com/office/drawing/2014/main" id="{00000000-0008-0000-0100-0000EE000000}"/>
                  </a:ext>
                </a:extLst>
              </xdr:cNvPr>
              <xdr:cNvSpPr/>
            </xdr:nvSpPr>
            <xdr:spPr>
              <a:xfrm>
                <a:off x="1291526" y="1041292"/>
                <a:ext cx="1356145" cy="1130184"/>
              </a:xfrm>
              <a:custGeom>
                <a:avLst/>
                <a:gdLst>
                  <a:gd name="connsiteX0" fmla="*/ 0 w 1378857"/>
                  <a:gd name="connsiteY0" fmla="*/ 0 h 1143000"/>
                  <a:gd name="connsiteX1" fmla="*/ 1378857 w 1378857"/>
                  <a:gd name="connsiteY1" fmla="*/ 0 h 1143000"/>
                  <a:gd name="connsiteX2" fmla="*/ 1378857 w 1378857"/>
                  <a:gd name="connsiteY2" fmla="*/ 1143000 h 1143000"/>
                  <a:gd name="connsiteX3" fmla="*/ 0 w 1378857"/>
                  <a:gd name="connsiteY3" fmla="*/ 1143000 h 1143000"/>
                  <a:gd name="connsiteX4" fmla="*/ 0 w 1378857"/>
                  <a:gd name="connsiteY4" fmla="*/ 0 h 1143000"/>
                  <a:gd name="connsiteX0" fmla="*/ 0 w 1378857"/>
                  <a:gd name="connsiteY0" fmla="*/ 0 h 1143000"/>
                  <a:gd name="connsiteX1" fmla="*/ 299357 w 1378857"/>
                  <a:gd name="connsiteY1" fmla="*/ 0 h 1143000"/>
                  <a:gd name="connsiteX2" fmla="*/ 1378857 w 1378857"/>
                  <a:gd name="connsiteY2" fmla="*/ 0 h 1143000"/>
                  <a:gd name="connsiteX3" fmla="*/ 1378857 w 1378857"/>
                  <a:gd name="connsiteY3" fmla="*/ 1143000 h 1143000"/>
                  <a:gd name="connsiteX4" fmla="*/ 0 w 1378857"/>
                  <a:gd name="connsiteY4" fmla="*/ 1143000 h 1143000"/>
                  <a:gd name="connsiteX5" fmla="*/ 0 w 1378857"/>
                  <a:gd name="connsiteY5" fmla="*/ 0 h 1143000"/>
                  <a:gd name="connsiteX0" fmla="*/ 0 w 1378857"/>
                  <a:gd name="connsiteY0" fmla="*/ 0 h 1143000"/>
                  <a:gd name="connsiteX1" fmla="*/ 344715 w 1378857"/>
                  <a:gd name="connsiteY1" fmla="*/ 0 h 1143000"/>
                  <a:gd name="connsiteX2" fmla="*/ 1378857 w 1378857"/>
                  <a:gd name="connsiteY2" fmla="*/ 0 h 1143000"/>
                  <a:gd name="connsiteX3" fmla="*/ 1378857 w 1378857"/>
                  <a:gd name="connsiteY3" fmla="*/ 1143000 h 1143000"/>
                  <a:gd name="connsiteX4" fmla="*/ 0 w 1378857"/>
                  <a:gd name="connsiteY4" fmla="*/ 1143000 h 1143000"/>
                  <a:gd name="connsiteX5" fmla="*/ 0 w 1378857"/>
                  <a:gd name="connsiteY5" fmla="*/ 0 h 1143000"/>
                  <a:gd name="connsiteX0" fmla="*/ 0 w 1378857"/>
                  <a:gd name="connsiteY0" fmla="*/ 285750 h 1143000"/>
                  <a:gd name="connsiteX1" fmla="*/ 344715 w 1378857"/>
                  <a:gd name="connsiteY1" fmla="*/ 0 h 1143000"/>
                  <a:gd name="connsiteX2" fmla="*/ 1378857 w 1378857"/>
                  <a:gd name="connsiteY2" fmla="*/ 0 h 1143000"/>
                  <a:gd name="connsiteX3" fmla="*/ 1378857 w 1378857"/>
                  <a:gd name="connsiteY3" fmla="*/ 1143000 h 1143000"/>
                  <a:gd name="connsiteX4" fmla="*/ 0 w 1378857"/>
                  <a:gd name="connsiteY4" fmla="*/ 1143000 h 1143000"/>
                  <a:gd name="connsiteX5" fmla="*/ 0 w 1378857"/>
                  <a:gd name="connsiteY5" fmla="*/ 285750 h 1143000"/>
                  <a:gd name="connsiteX0" fmla="*/ 0 w 1378857"/>
                  <a:gd name="connsiteY0" fmla="*/ 285750 h 1143000"/>
                  <a:gd name="connsiteX1" fmla="*/ 344715 w 1378857"/>
                  <a:gd name="connsiteY1" fmla="*/ 0 h 1143000"/>
                  <a:gd name="connsiteX2" fmla="*/ 1279072 w 1378857"/>
                  <a:gd name="connsiteY2" fmla="*/ 0 h 1143000"/>
                  <a:gd name="connsiteX3" fmla="*/ 1378857 w 1378857"/>
                  <a:gd name="connsiteY3" fmla="*/ 0 h 1143000"/>
                  <a:gd name="connsiteX4" fmla="*/ 1378857 w 1378857"/>
                  <a:gd name="connsiteY4" fmla="*/ 1143000 h 1143000"/>
                  <a:gd name="connsiteX5" fmla="*/ 0 w 1378857"/>
                  <a:gd name="connsiteY5" fmla="*/ 1143000 h 1143000"/>
                  <a:gd name="connsiteX6" fmla="*/ 0 w 1378857"/>
                  <a:gd name="connsiteY6" fmla="*/ 285750 h 1143000"/>
                  <a:gd name="connsiteX0" fmla="*/ 0 w 1378857"/>
                  <a:gd name="connsiteY0" fmla="*/ 285750 h 1143000"/>
                  <a:gd name="connsiteX1" fmla="*/ 344715 w 1378857"/>
                  <a:gd name="connsiteY1" fmla="*/ 0 h 1143000"/>
                  <a:gd name="connsiteX2" fmla="*/ 1034143 w 1378857"/>
                  <a:gd name="connsiteY2" fmla="*/ 0 h 1143000"/>
                  <a:gd name="connsiteX3" fmla="*/ 1378857 w 1378857"/>
                  <a:gd name="connsiteY3" fmla="*/ 0 h 1143000"/>
                  <a:gd name="connsiteX4" fmla="*/ 1378857 w 1378857"/>
                  <a:gd name="connsiteY4" fmla="*/ 1143000 h 1143000"/>
                  <a:gd name="connsiteX5" fmla="*/ 0 w 1378857"/>
                  <a:gd name="connsiteY5" fmla="*/ 1143000 h 1143000"/>
                  <a:gd name="connsiteX6" fmla="*/ 0 w 1378857"/>
                  <a:gd name="connsiteY6" fmla="*/ 285750 h 1143000"/>
                  <a:gd name="connsiteX0" fmla="*/ 0 w 1378857"/>
                  <a:gd name="connsiteY0" fmla="*/ 285750 h 1143000"/>
                  <a:gd name="connsiteX1" fmla="*/ 344715 w 1378857"/>
                  <a:gd name="connsiteY1" fmla="*/ 0 h 1143000"/>
                  <a:gd name="connsiteX2" fmla="*/ 1034143 w 1378857"/>
                  <a:gd name="connsiteY2" fmla="*/ 0 h 1143000"/>
                  <a:gd name="connsiteX3" fmla="*/ 1378857 w 1378857"/>
                  <a:gd name="connsiteY3" fmla="*/ 285750 h 1143000"/>
                  <a:gd name="connsiteX4" fmla="*/ 1378857 w 1378857"/>
                  <a:gd name="connsiteY4" fmla="*/ 1143000 h 1143000"/>
                  <a:gd name="connsiteX5" fmla="*/ 0 w 1378857"/>
                  <a:gd name="connsiteY5" fmla="*/ 1143000 h 1143000"/>
                  <a:gd name="connsiteX6" fmla="*/ 0 w 1378857"/>
                  <a:gd name="connsiteY6" fmla="*/ 285750 h 1143000"/>
                  <a:gd name="connsiteX0" fmla="*/ 0 w 1378857"/>
                  <a:gd name="connsiteY0" fmla="*/ 285750 h 1143000"/>
                  <a:gd name="connsiteX1" fmla="*/ 344715 w 1378857"/>
                  <a:gd name="connsiteY1" fmla="*/ 0 h 1143000"/>
                  <a:gd name="connsiteX2" fmla="*/ 1034143 w 1378857"/>
                  <a:gd name="connsiteY2" fmla="*/ 0 h 1143000"/>
                  <a:gd name="connsiteX3" fmla="*/ 1378857 w 1378857"/>
                  <a:gd name="connsiteY3" fmla="*/ 285750 h 1143000"/>
                  <a:gd name="connsiteX4" fmla="*/ 1378857 w 1378857"/>
                  <a:gd name="connsiteY4" fmla="*/ 866321 h 1143000"/>
                  <a:gd name="connsiteX5" fmla="*/ 1378857 w 1378857"/>
                  <a:gd name="connsiteY5" fmla="*/ 1143000 h 1143000"/>
                  <a:gd name="connsiteX6" fmla="*/ 0 w 1378857"/>
                  <a:gd name="connsiteY6" fmla="*/ 1143000 h 1143000"/>
                  <a:gd name="connsiteX7" fmla="*/ 0 w 1378857"/>
                  <a:gd name="connsiteY7" fmla="*/ 285750 h 1143000"/>
                  <a:gd name="connsiteX0" fmla="*/ 0 w 1378857"/>
                  <a:gd name="connsiteY0" fmla="*/ 285750 h 1143000"/>
                  <a:gd name="connsiteX1" fmla="*/ 344715 w 1378857"/>
                  <a:gd name="connsiteY1" fmla="*/ 0 h 1143000"/>
                  <a:gd name="connsiteX2" fmla="*/ 1034143 w 1378857"/>
                  <a:gd name="connsiteY2" fmla="*/ 0 h 1143000"/>
                  <a:gd name="connsiteX3" fmla="*/ 1378857 w 1378857"/>
                  <a:gd name="connsiteY3" fmla="*/ 285750 h 1143000"/>
                  <a:gd name="connsiteX4" fmla="*/ 1378857 w 1378857"/>
                  <a:gd name="connsiteY4" fmla="*/ 866321 h 1143000"/>
                  <a:gd name="connsiteX5" fmla="*/ 1378857 w 1378857"/>
                  <a:gd name="connsiteY5" fmla="*/ 1143000 h 1143000"/>
                  <a:gd name="connsiteX6" fmla="*/ 0 w 1378857"/>
                  <a:gd name="connsiteY6" fmla="*/ 1143000 h 1143000"/>
                  <a:gd name="connsiteX7" fmla="*/ 0 w 1378857"/>
                  <a:gd name="connsiteY7" fmla="*/ 943429 h 1143000"/>
                  <a:gd name="connsiteX8" fmla="*/ 0 w 1378857"/>
                  <a:gd name="connsiteY8" fmla="*/ 285750 h 1143000"/>
                  <a:gd name="connsiteX0" fmla="*/ 0 w 1378857"/>
                  <a:gd name="connsiteY0" fmla="*/ 285750 h 1143000"/>
                  <a:gd name="connsiteX1" fmla="*/ 344715 w 1378857"/>
                  <a:gd name="connsiteY1" fmla="*/ 0 h 1143000"/>
                  <a:gd name="connsiteX2" fmla="*/ 1034143 w 1378857"/>
                  <a:gd name="connsiteY2" fmla="*/ 0 h 1143000"/>
                  <a:gd name="connsiteX3" fmla="*/ 1378857 w 1378857"/>
                  <a:gd name="connsiteY3" fmla="*/ 285750 h 1143000"/>
                  <a:gd name="connsiteX4" fmla="*/ 1378857 w 1378857"/>
                  <a:gd name="connsiteY4" fmla="*/ 866321 h 1143000"/>
                  <a:gd name="connsiteX5" fmla="*/ 1378857 w 1378857"/>
                  <a:gd name="connsiteY5" fmla="*/ 1143000 h 1143000"/>
                  <a:gd name="connsiteX6" fmla="*/ 344715 w 1378857"/>
                  <a:gd name="connsiteY6" fmla="*/ 1143000 h 1143000"/>
                  <a:gd name="connsiteX7" fmla="*/ 0 w 1378857"/>
                  <a:gd name="connsiteY7" fmla="*/ 943429 h 1143000"/>
                  <a:gd name="connsiteX8" fmla="*/ 0 w 1378857"/>
                  <a:gd name="connsiteY8" fmla="*/ 285750 h 1143000"/>
                  <a:gd name="connsiteX0" fmla="*/ 0 w 1378857"/>
                  <a:gd name="connsiteY0" fmla="*/ 285750 h 1143000"/>
                  <a:gd name="connsiteX1" fmla="*/ 344715 w 1378857"/>
                  <a:gd name="connsiteY1" fmla="*/ 0 h 1143000"/>
                  <a:gd name="connsiteX2" fmla="*/ 1034143 w 1378857"/>
                  <a:gd name="connsiteY2" fmla="*/ 0 h 1143000"/>
                  <a:gd name="connsiteX3" fmla="*/ 1378857 w 1378857"/>
                  <a:gd name="connsiteY3" fmla="*/ 285750 h 1143000"/>
                  <a:gd name="connsiteX4" fmla="*/ 1378857 w 1378857"/>
                  <a:gd name="connsiteY4" fmla="*/ 866321 h 1143000"/>
                  <a:gd name="connsiteX5" fmla="*/ 1378857 w 1378857"/>
                  <a:gd name="connsiteY5" fmla="*/ 1143000 h 1143000"/>
                  <a:gd name="connsiteX6" fmla="*/ 344715 w 1378857"/>
                  <a:gd name="connsiteY6" fmla="*/ 1143000 h 1143000"/>
                  <a:gd name="connsiteX7" fmla="*/ 0 w 1378857"/>
                  <a:gd name="connsiteY7" fmla="*/ 857250 h 1143000"/>
                  <a:gd name="connsiteX8" fmla="*/ 0 w 1378857"/>
                  <a:gd name="connsiteY8" fmla="*/ 285750 h 1143000"/>
                  <a:gd name="connsiteX0" fmla="*/ 0 w 1378857"/>
                  <a:gd name="connsiteY0" fmla="*/ 285750 h 1143000"/>
                  <a:gd name="connsiteX1" fmla="*/ 344715 w 1378857"/>
                  <a:gd name="connsiteY1" fmla="*/ 0 h 1143000"/>
                  <a:gd name="connsiteX2" fmla="*/ 1034143 w 1378857"/>
                  <a:gd name="connsiteY2" fmla="*/ 0 h 1143000"/>
                  <a:gd name="connsiteX3" fmla="*/ 1378857 w 1378857"/>
                  <a:gd name="connsiteY3" fmla="*/ 285750 h 1143000"/>
                  <a:gd name="connsiteX4" fmla="*/ 1378857 w 1378857"/>
                  <a:gd name="connsiteY4" fmla="*/ 866321 h 1143000"/>
                  <a:gd name="connsiteX5" fmla="*/ 1034143 w 1378857"/>
                  <a:gd name="connsiteY5" fmla="*/ 1143000 h 1143000"/>
                  <a:gd name="connsiteX6" fmla="*/ 344715 w 1378857"/>
                  <a:gd name="connsiteY6" fmla="*/ 1143000 h 1143000"/>
                  <a:gd name="connsiteX7" fmla="*/ 0 w 1378857"/>
                  <a:gd name="connsiteY7" fmla="*/ 857250 h 1143000"/>
                  <a:gd name="connsiteX8" fmla="*/ 0 w 1378857"/>
                  <a:gd name="connsiteY8" fmla="*/ 285750 h 1143000"/>
                  <a:gd name="connsiteX0" fmla="*/ 0 w 1378857"/>
                  <a:gd name="connsiteY0" fmla="*/ 285750 h 1143036"/>
                  <a:gd name="connsiteX1" fmla="*/ 344715 w 1378857"/>
                  <a:gd name="connsiteY1" fmla="*/ 0 h 1143036"/>
                  <a:gd name="connsiteX2" fmla="*/ 1034143 w 1378857"/>
                  <a:gd name="connsiteY2" fmla="*/ 0 h 1143036"/>
                  <a:gd name="connsiteX3" fmla="*/ 1378857 w 1378857"/>
                  <a:gd name="connsiteY3" fmla="*/ 285750 h 1143036"/>
                  <a:gd name="connsiteX4" fmla="*/ 1378857 w 1378857"/>
                  <a:gd name="connsiteY4" fmla="*/ 866321 h 1143036"/>
                  <a:gd name="connsiteX5" fmla="*/ 1034143 w 1378857"/>
                  <a:gd name="connsiteY5" fmla="*/ 1143000 h 1143036"/>
                  <a:gd name="connsiteX6" fmla="*/ 344715 w 1378857"/>
                  <a:gd name="connsiteY6" fmla="*/ 1143000 h 1143036"/>
                  <a:gd name="connsiteX7" fmla="*/ 0 w 1378857"/>
                  <a:gd name="connsiteY7" fmla="*/ 857250 h 1143036"/>
                  <a:gd name="connsiteX8" fmla="*/ 0 w 1378857"/>
                  <a:gd name="connsiteY8" fmla="*/ 285750 h 1143036"/>
                  <a:gd name="connsiteX0" fmla="*/ 0 w 1378900"/>
                  <a:gd name="connsiteY0" fmla="*/ 285750 h 1143099"/>
                  <a:gd name="connsiteX1" fmla="*/ 344715 w 1378900"/>
                  <a:gd name="connsiteY1" fmla="*/ 0 h 1143099"/>
                  <a:gd name="connsiteX2" fmla="*/ 1034143 w 1378900"/>
                  <a:gd name="connsiteY2" fmla="*/ 0 h 1143099"/>
                  <a:gd name="connsiteX3" fmla="*/ 1378857 w 1378900"/>
                  <a:gd name="connsiteY3" fmla="*/ 285750 h 1143099"/>
                  <a:gd name="connsiteX4" fmla="*/ 1378857 w 1378900"/>
                  <a:gd name="connsiteY4" fmla="*/ 866321 h 1143099"/>
                  <a:gd name="connsiteX5" fmla="*/ 1034143 w 1378900"/>
                  <a:gd name="connsiteY5" fmla="*/ 1143000 h 1143099"/>
                  <a:gd name="connsiteX6" fmla="*/ 344715 w 1378900"/>
                  <a:gd name="connsiteY6" fmla="*/ 1143000 h 1143099"/>
                  <a:gd name="connsiteX7" fmla="*/ 0 w 1378900"/>
                  <a:gd name="connsiteY7" fmla="*/ 857250 h 1143099"/>
                  <a:gd name="connsiteX8" fmla="*/ 0 w 1378900"/>
                  <a:gd name="connsiteY8" fmla="*/ 285750 h 1143099"/>
                  <a:gd name="connsiteX0" fmla="*/ 0 w 1378900"/>
                  <a:gd name="connsiteY0" fmla="*/ 285750 h 1143099"/>
                  <a:gd name="connsiteX1" fmla="*/ 344715 w 1378900"/>
                  <a:gd name="connsiteY1" fmla="*/ 0 h 1143099"/>
                  <a:gd name="connsiteX2" fmla="*/ 1034143 w 1378900"/>
                  <a:gd name="connsiteY2" fmla="*/ 0 h 1143099"/>
                  <a:gd name="connsiteX3" fmla="*/ 1378857 w 1378900"/>
                  <a:gd name="connsiteY3" fmla="*/ 285750 h 1143099"/>
                  <a:gd name="connsiteX4" fmla="*/ 1378857 w 1378900"/>
                  <a:gd name="connsiteY4" fmla="*/ 866321 h 1143099"/>
                  <a:gd name="connsiteX5" fmla="*/ 1034143 w 1378900"/>
                  <a:gd name="connsiteY5" fmla="*/ 1143000 h 1143099"/>
                  <a:gd name="connsiteX6" fmla="*/ 344715 w 1378900"/>
                  <a:gd name="connsiteY6" fmla="*/ 1143000 h 1143099"/>
                  <a:gd name="connsiteX7" fmla="*/ 0 w 1378900"/>
                  <a:gd name="connsiteY7" fmla="*/ 857250 h 1143099"/>
                  <a:gd name="connsiteX8" fmla="*/ 0 w 1378900"/>
                  <a:gd name="connsiteY8" fmla="*/ 285750 h 1143099"/>
                  <a:gd name="connsiteX0" fmla="*/ 0 w 1378900"/>
                  <a:gd name="connsiteY0" fmla="*/ 285750 h 1143099"/>
                  <a:gd name="connsiteX1" fmla="*/ 344715 w 1378900"/>
                  <a:gd name="connsiteY1" fmla="*/ 0 h 1143099"/>
                  <a:gd name="connsiteX2" fmla="*/ 1034143 w 1378900"/>
                  <a:gd name="connsiteY2" fmla="*/ 0 h 1143099"/>
                  <a:gd name="connsiteX3" fmla="*/ 1378857 w 1378900"/>
                  <a:gd name="connsiteY3" fmla="*/ 285750 h 1143099"/>
                  <a:gd name="connsiteX4" fmla="*/ 1378857 w 1378900"/>
                  <a:gd name="connsiteY4" fmla="*/ 866321 h 1143099"/>
                  <a:gd name="connsiteX5" fmla="*/ 1034143 w 1378900"/>
                  <a:gd name="connsiteY5" fmla="*/ 1143000 h 1143099"/>
                  <a:gd name="connsiteX6" fmla="*/ 344715 w 1378900"/>
                  <a:gd name="connsiteY6" fmla="*/ 1143000 h 1143099"/>
                  <a:gd name="connsiteX7" fmla="*/ 0 w 1378900"/>
                  <a:gd name="connsiteY7" fmla="*/ 857250 h 1143099"/>
                  <a:gd name="connsiteX8" fmla="*/ 0 w 1378900"/>
                  <a:gd name="connsiteY8" fmla="*/ 285750 h 1143099"/>
                  <a:gd name="connsiteX0" fmla="*/ 0 w 1378900"/>
                  <a:gd name="connsiteY0" fmla="*/ 285750 h 1143099"/>
                  <a:gd name="connsiteX1" fmla="*/ 344715 w 1378900"/>
                  <a:gd name="connsiteY1" fmla="*/ 0 h 1143099"/>
                  <a:gd name="connsiteX2" fmla="*/ 1034143 w 1378900"/>
                  <a:gd name="connsiteY2" fmla="*/ 0 h 1143099"/>
                  <a:gd name="connsiteX3" fmla="*/ 1378857 w 1378900"/>
                  <a:gd name="connsiteY3" fmla="*/ 285750 h 1143099"/>
                  <a:gd name="connsiteX4" fmla="*/ 1378857 w 1378900"/>
                  <a:gd name="connsiteY4" fmla="*/ 866321 h 1143099"/>
                  <a:gd name="connsiteX5" fmla="*/ 1034143 w 1378900"/>
                  <a:gd name="connsiteY5" fmla="*/ 1143000 h 1143099"/>
                  <a:gd name="connsiteX6" fmla="*/ 344715 w 1378900"/>
                  <a:gd name="connsiteY6" fmla="*/ 1143000 h 1143099"/>
                  <a:gd name="connsiteX7" fmla="*/ 0 w 1378900"/>
                  <a:gd name="connsiteY7" fmla="*/ 857250 h 1143099"/>
                  <a:gd name="connsiteX8" fmla="*/ 0 w 1378900"/>
                  <a:gd name="connsiteY8" fmla="*/ 285750 h 1143099"/>
                  <a:gd name="connsiteX0" fmla="*/ 0 w 1378900"/>
                  <a:gd name="connsiteY0" fmla="*/ 285750 h 1143099"/>
                  <a:gd name="connsiteX1" fmla="*/ 344715 w 1378900"/>
                  <a:gd name="connsiteY1" fmla="*/ 0 h 1143099"/>
                  <a:gd name="connsiteX2" fmla="*/ 1034143 w 1378900"/>
                  <a:gd name="connsiteY2" fmla="*/ 0 h 1143099"/>
                  <a:gd name="connsiteX3" fmla="*/ 1378857 w 1378900"/>
                  <a:gd name="connsiteY3" fmla="*/ 285750 h 1143099"/>
                  <a:gd name="connsiteX4" fmla="*/ 1378857 w 1378900"/>
                  <a:gd name="connsiteY4" fmla="*/ 866321 h 1143099"/>
                  <a:gd name="connsiteX5" fmla="*/ 1034143 w 1378900"/>
                  <a:gd name="connsiteY5" fmla="*/ 1143000 h 1143099"/>
                  <a:gd name="connsiteX6" fmla="*/ 344715 w 1378900"/>
                  <a:gd name="connsiteY6" fmla="*/ 1143000 h 1143099"/>
                  <a:gd name="connsiteX7" fmla="*/ 0 w 1378900"/>
                  <a:gd name="connsiteY7" fmla="*/ 857250 h 1143099"/>
                  <a:gd name="connsiteX8" fmla="*/ 0 w 1378900"/>
                  <a:gd name="connsiteY8" fmla="*/ 285750 h 1143099"/>
                  <a:gd name="connsiteX0" fmla="*/ 0 w 1378900"/>
                  <a:gd name="connsiteY0" fmla="*/ 285750 h 1143099"/>
                  <a:gd name="connsiteX1" fmla="*/ 344715 w 1378900"/>
                  <a:gd name="connsiteY1" fmla="*/ 0 h 1143099"/>
                  <a:gd name="connsiteX2" fmla="*/ 1034143 w 1378900"/>
                  <a:gd name="connsiteY2" fmla="*/ 0 h 1143099"/>
                  <a:gd name="connsiteX3" fmla="*/ 1378857 w 1378900"/>
                  <a:gd name="connsiteY3" fmla="*/ 285750 h 1143099"/>
                  <a:gd name="connsiteX4" fmla="*/ 1378857 w 1378900"/>
                  <a:gd name="connsiteY4" fmla="*/ 866321 h 1143099"/>
                  <a:gd name="connsiteX5" fmla="*/ 1034143 w 1378900"/>
                  <a:gd name="connsiteY5" fmla="*/ 1143000 h 1143099"/>
                  <a:gd name="connsiteX6" fmla="*/ 344715 w 1378900"/>
                  <a:gd name="connsiteY6" fmla="*/ 1143000 h 1143099"/>
                  <a:gd name="connsiteX7" fmla="*/ 0 w 1378900"/>
                  <a:gd name="connsiteY7" fmla="*/ 857250 h 1143099"/>
                  <a:gd name="connsiteX8" fmla="*/ 0 w 1378900"/>
                  <a:gd name="connsiteY8" fmla="*/ 285750 h 1143099"/>
                  <a:gd name="connsiteX0" fmla="*/ 0 w 1378900"/>
                  <a:gd name="connsiteY0" fmla="*/ 285750 h 1143387"/>
                  <a:gd name="connsiteX1" fmla="*/ 344715 w 1378900"/>
                  <a:gd name="connsiteY1" fmla="*/ 0 h 1143387"/>
                  <a:gd name="connsiteX2" fmla="*/ 1034143 w 1378900"/>
                  <a:gd name="connsiteY2" fmla="*/ 0 h 1143387"/>
                  <a:gd name="connsiteX3" fmla="*/ 1378857 w 1378900"/>
                  <a:gd name="connsiteY3" fmla="*/ 285750 h 1143387"/>
                  <a:gd name="connsiteX4" fmla="*/ 1378857 w 1378900"/>
                  <a:gd name="connsiteY4" fmla="*/ 866321 h 1143387"/>
                  <a:gd name="connsiteX5" fmla="*/ 1034143 w 1378900"/>
                  <a:gd name="connsiteY5" fmla="*/ 1143000 h 1143387"/>
                  <a:gd name="connsiteX6" fmla="*/ 344715 w 1378900"/>
                  <a:gd name="connsiteY6" fmla="*/ 1143000 h 1143387"/>
                  <a:gd name="connsiteX7" fmla="*/ 0 w 1378900"/>
                  <a:gd name="connsiteY7" fmla="*/ 857250 h 1143387"/>
                  <a:gd name="connsiteX8" fmla="*/ 0 w 1378900"/>
                  <a:gd name="connsiteY8" fmla="*/ 285750 h 1143387"/>
                  <a:gd name="connsiteX0" fmla="*/ 0 w 1378900"/>
                  <a:gd name="connsiteY0" fmla="*/ 285750 h 1143099"/>
                  <a:gd name="connsiteX1" fmla="*/ 344715 w 1378900"/>
                  <a:gd name="connsiteY1" fmla="*/ 0 h 1143099"/>
                  <a:gd name="connsiteX2" fmla="*/ 1034143 w 1378900"/>
                  <a:gd name="connsiteY2" fmla="*/ 0 h 1143099"/>
                  <a:gd name="connsiteX3" fmla="*/ 1378857 w 1378900"/>
                  <a:gd name="connsiteY3" fmla="*/ 285750 h 1143099"/>
                  <a:gd name="connsiteX4" fmla="*/ 1378857 w 1378900"/>
                  <a:gd name="connsiteY4" fmla="*/ 866321 h 1143099"/>
                  <a:gd name="connsiteX5" fmla="*/ 1034143 w 1378900"/>
                  <a:gd name="connsiteY5" fmla="*/ 1143000 h 1143099"/>
                  <a:gd name="connsiteX6" fmla="*/ 344715 w 1378900"/>
                  <a:gd name="connsiteY6" fmla="*/ 1143000 h 1143099"/>
                  <a:gd name="connsiteX7" fmla="*/ 0 w 1378900"/>
                  <a:gd name="connsiteY7" fmla="*/ 857250 h 1143099"/>
                  <a:gd name="connsiteX8" fmla="*/ 0 w 1378900"/>
                  <a:gd name="connsiteY8" fmla="*/ 285750 h 1143099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</a:cxnLst>
                <a:rect l="l" t="t" r="r" b="b"/>
                <a:pathLst>
                  <a:path w="1378900" h="1143099">
                    <a:moveTo>
                      <a:pt x="0" y="285750"/>
                    </a:moveTo>
                    <a:cubicBezTo>
                      <a:pt x="6048" y="95250"/>
                      <a:pt x="80131" y="0"/>
                      <a:pt x="344715" y="0"/>
                    </a:cubicBezTo>
                    <a:lnTo>
                      <a:pt x="1034143" y="0"/>
                    </a:lnTo>
                    <a:cubicBezTo>
                      <a:pt x="1235226" y="9071"/>
                      <a:pt x="1377345" y="122464"/>
                      <a:pt x="1378857" y="285750"/>
                    </a:cubicBezTo>
                    <a:lnTo>
                      <a:pt x="1378857" y="866321"/>
                    </a:lnTo>
                    <a:cubicBezTo>
                      <a:pt x="1381880" y="1081011"/>
                      <a:pt x="1226155" y="1146024"/>
                      <a:pt x="1034143" y="1143000"/>
                    </a:cubicBezTo>
                    <a:lnTo>
                      <a:pt x="344715" y="1143000"/>
                    </a:lnTo>
                    <a:cubicBezTo>
                      <a:pt x="220738" y="1138464"/>
                      <a:pt x="6048" y="1115786"/>
                      <a:pt x="0" y="857250"/>
                    </a:cubicBezTo>
                    <a:lnTo>
                      <a:pt x="0" y="285750"/>
                    </a:lnTo>
                    <a:close/>
                  </a:path>
                </a:pathLst>
              </a:custGeom>
              <a:noFill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cxnSp macro="">
            <xdr:nvCxnSpPr>
              <xdr:cNvPr id="239" name="Straight Connector 238">
                <a:extLst>
                  <a:ext uri="{FF2B5EF4-FFF2-40B4-BE49-F238E27FC236}">
                    <a16:creationId xmlns:a16="http://schemas.microsoft.com/office/drawing/2014/main" id="{00000000-0008-0000-0100-0000EF000000}"/>
                  </a:ext>
                </a:extLst>
              </xdr:cNvPr>
              <xdr:cNvCxnSpPr/>
            </xdr:nvCxnSpPr>
            <xdr:spPr>
              <a:xfrm>
                <a:off x="1436817" y="1062817"/>
                <a:ext cx="339024" cy="282521"/>
              </a:xfrm>
              <a:prstGeom prst="line">
                <a:avLst/>
              </a:prstGeom>
              <a:ln w="19050">
                <a:solidFill>
                  <a:schemeClr val="tx2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0" name="Straight Connector 239">
                <a:extLst>
                  <a:ext uri="{FF2B5EF4-FFF2-40B4-BE49-F238E27FC236}">
                    <a16:creationId xmlns:a16="http://schemas.microsoft.com/office/drawing/2014/main" id="{00000000-0008-0000-0100-0000F0000000}"/>
                  </a:ext>
                </a:extLst>
              </xdr:cNvPr>
              <xdr:cNvCxnSpPr/>
            </xdr:nvCxnSpPr>
            <xdr:spPr>
              <a:xfrm>
                <a:off x="1297214" y="1216190"/>
                <a:ext cx="339024" cy="282521"/>
              </a:xfrm>
              <a:prstGeom prst="line">
                <a:avLst/>
              </a:prstGeom>
              <a:ln w="19050">
                <a:solidFill>
                  <a:schemeClr val="tx2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37" name="Rounded Rectangle 95">
              <a:extLst>
                <a:ext uri="{FF2B5EF4-FFF2-40B4-BE49-F238E27FC236}">
                  <a16:creationId xmlns:a16="http://schemas.microsoft.com/office/drawing/2014/main" id="{00000000-0008-0000-0100-0000ED000000}"/>
                </a:ext>
              </a:extLst>
            </xdr:cNvPr>
            <xdr:cNvSpPr/>
          </xdr:nvSpPr>
          <xdr:spPr>
            <a:xfrm>
              <a:off x="965199" y="2942590"/>
              <a:ext cx="1549399" cy="391160"/>
            </a:xfrm>
            <a:custGeom>
              <a:avLst/>
              <a:gdLst>
                <a:gd name="connsiteX0" fmla="*/ 0 w 1708150"/>
                <a:gd name="connsiteY0" fmla="*/ 158751 h 381000"/>
                <a:gd name="connsiteX1" fmla="*/ 158751 w 1708150"/>
                <a:gd name="connsiteY1" fmla="*/ 0 h 381000"/>
                <a:gd name="connsiteX2" fmla="*/ 1549399 w 1708150"/>
                <a:gd name="connsiteY2" fmla="*/ 0 h 381000"/>
                <a:gd name="connsiteX3" fmla="*/ 1708150 w 1708150"/>
                <a:gd name="connsiteY3" fmla="*/ 158751 h 381000"/>
                <a:gd name="connsiteX4" fmla="*/ 1708150 w 1708150"/>
                <a:gd name="connsiteY4" fmla="*/ 222249 h 381000"/>
                <a:gd name="connsiteX5" fmla="*/ 1549399 w 1708150"/>
                <a:gd name="connsiteY5" fmla="*/ 381000 h 381000"/>
                <a:gd name="connsiteX6" fmla="*/ 158751 w 1708150"/>
                <a:gd name="connsiteY6" fmla="*/ 381000 h 381000"/>
                <a:gd name="connsiteX7" fmla="*/ 0 w 1708150"/>
                <a:gd name="connsiteY7" fmla="*/ 222249 h 381000"/>
                <a:gd name="connsiteX8" fmla="*/ 0 w 1708150"/>
                <a:gd name="connsiteY8" fmla="*/ 158751 h 381000"/>
                <a:gd name="connsiteX0" fmla="*/ 0 w 1726990"/>
                <a:gd name="connsiteY0" fmla="*/ 158751 h 381000"/>
                <a:gd name="connsiteX1" fmla="*/ 158751 w 1726990"/>
                <a:gd name="connsiteY1" fmla="*/ 0 h 381000"/>
                <a:gd name="connsiteX2" fmla="*/ 1549399 w 1726990"/>
                <a:gd name="connsiteY2" fmla="*/ 0 h 381000"/>
                <a:gd name="connsiteX3" fmla="*/ 1708150 w 1726990"/>
                <a:gd name="connsiteY3" fmla="*/ 222249 h 381000"/>
                <a:gd name="connsiteX4" fmla="*/ 1549399 w 1726990"/>
                <a:gd name="connsiteY4" fmla="*/ 381000 h 381000"/>
                <a:gd name="connsiteX5" fmla="*/ 158751 w 1726990"/>
                <a:gd name="connsiteY5" fmla="*/ 381000 h 381000"/>
                <a:gd name="connsiteX6" fmla="*/ 0 w 1726990"/>
                <a:gd name="connsiteY6" fmla="*/ 222249 h 381000"/>
                <a:gd name="connsiteX7" fmla="*/ 0 w 1726990"/>
                <a:gd name="connsiteY7" fmla="*/ 158751 h 381000"/>
                <a:gd name="connsiteX0" fmla="*/ 0 w 1723230"/>
                <a:gd name="connsiteY0" fmla="*/ 158751 h 381000"/>
                <a:gd name="connsiteX1" fmla="*/ 158751 w 1723230"/>
                <a:gd name="connsiteY1" fmla="*/ 0 h 381000"/>
                <a:gd name="connsiteX2" fmla="*/ 1549399 w 1723230"/>
                <a:gd name="connsiteY2" fmla="*/ 0 h 381000"/>
                <a:gd name="connsiteX3" fmla="*/ 1549399 w 1723230"/>
                <a:gd name="connsiteY3" fmla="*/ 381000 h 381000"/>
                <a:gd name="connsiteX4" fmla="*/ 158751 w 1723230"/>
                <a:gd name="connsiteY4" fmla="*/ 381000 h 381000"/>
                <a:gd name="connsiteX5" fmla="*/ 0 w 1723230"/>
                <a:gd name="connsiteY5" fmla="*/ 222249 h 381000"/>
                <a:gd name="connsiteX6" fmla="*/ 0 w 1723230"/>
                <a:gd name="connsiteY6" fmla="*/ 158751 h 381000"/>
                <a:gd name="connsiteX0" fmla="*/ 0 w 1726447"/>
                <a:gd name="connsiteY0" fmla="*/ 158751 h 381000"/>
                <a:gd name="connsiteX1" fmla="*/ 158751 w 1726447"/>
                <a:gd name="connsiteY1" fmla="*/ 0 h 381000"/>
                <a:gd name="connsiteX2" fmla="*/ 1549399 w 1726447"/>
                <a:gd name="connsiteY2" fmla="*/ 0 h 381000"/>
                <a:gd name="connsiteX3" fmla="*/ 1549399 w 1726447"/>
                <a:gd name="connsiteY3" fmla="*/ 381000 h 381000"/>
                <a:gd name="connsiteX4" fmla="*/ 158751 w 1726447"/>
                <a:gd name="connsiteY4" fmla="*/ 381000 h 381000"/>
                <a:gd name="connsiteX5" fmla="*/ 0 w 1726447"/>
                <a:gd name="connsiteY5" fmla="*/ 222249 h 381000"/>
                <a:gd name="connsiteX6" fmla="*/ 0 w 1726447"/>
                <a:gd name="connsiteY6" fmla="*/ 158751 h 381000"/>
                <a:gd name="connsiteX0" fmla="*/ 0 w 1652410"/>
                <a:gd name="connsiteY0" fmla="*/ 158751 h 381000"/>
                <a:gd name="connsiteX1" fmla="*/ 158751 w 1652410"/>
                <a:gd name="connsiteY1" fmla="*/ 0 h 381000"/>
                <a:gd name="connsiteX2" fmla="*/ 1549399 w 1652410"/>
                <a:gd name="connsiteY2" fmla="*/ 0 h 381000"/>
                <a:gd name="connsiteX3" fmla="*/ 1549399 w 1652410"/>
                <a:gd name="connsiteY3" fmla="*/ 381000 h 381000"/>
                <a:gd name="connsiteX4" fmla="*/ 158751 w 1652410"/>
                <a:gd name="connsiteY4" fmla="*/ 381000 h 381000"/>
                <a:gd name="connsiteX5" fmla="*/ 0 w 1652410"/>
                <a:gd name="connsiteY5" fmla="*/ 222249 h 381000"/>
                <a:gd name="connsiteX6" fmla="*/ 0 w 1652410"/>
                <a:gd name="connsiteY6" fmla="*/ 158751 h 381000"/>
                <a:gd name="connsiteX0" fmla="*/ 1549399 w 1652410"/>
                <a:gd name="connsiteY0" fmla="*/ 0 h 381000"/>
                <a:gd name="connsiteX1" fmla="*/ 1549399 w 1652410"/>
                <a:gd name="connsiteY1" fmla="*/ 381000 h 381000"/>
                <a:gd name="connsiteX2" fmla="*/ 158751 w 1652410"/>
                <a:gd name="connsiteY2" fmla="*/ 381000 h 381000"/>
                <a:gd name="connsiteX3" fmla="*/ 0 w 1652410"/>
                <a:gd name="connsiteY3" fmla="*/ 222249 h 381000"/>
                <a:gd name="connsiteX4" fmla="*/ 0 w 1652410"/>
                <a:gd name="connsiteY4" fmla="*/ 158751 h 381000"/>
                <a:gd name="connsiteX5" fmla="*/ 158751 w 1652410"/>
                <a:gd name="connsiteY5" fmla="*/ 0 h 381000"/>
                <a:gd name="connsiteX6" fmla="*/ 1640839 w 1652410"/>
                <a:gd name="connsiteY6" fmla="*/ 91440 h 381000"/>
                <a:gd name="connsiteX0" fmla="*/ 1549399 w 1652410"/>
                <a:gd name="connsiteY0" fmla="*/ 10160 h 391160"/>
                <a:gd name="connsiteX1" fmla="*/ 1549399 w 1652410"/>
                <a:gd name="connsiteY1" fmla="*/ 391160 h 391160"/>
                <a:gd name="connsiteX2" fmla="*/ 158751 w 1652410"/>
                <a:gd name="connsiteY2" fmla="*/ 391160 h 391160"/>
                <a:gd name="connsiteX3" fmla="*/ 0 w 1652410"/>
                <a:gd name="connsiteY3" fmla="*/ 232409 h 391160"/>
                <a:gd name="connsiteX4" fmla="*/ 0 w 1652410"/>
                <a:gd name="connsiteY4" fmla="*/ 168911 h 391160"/>
                <a:gd name="connsiteX5" fmla="*/ 158751 w 1652410"/>
                <a:gd name="connsiteY5" fmla="*/ 10160 h 391160"/>
                <a:gd name="connsiteX6" fmla="*/ 1342389 w 1652410"/>
                <a:gd name="connsiteY6" fmla="*/ 0 h 391160"/>
                <a:gd name="connsiteX0" fmla="*/ 1549399 w 1549399"/>
                <a:gd name="connsiteY0" fmla="*/ 391160 h 391160"/>
                <a:gd name="connsiteX1" fmla="*/ 158751 w 1549399"/>
                <a:gd name="connsiteY1" fmla="*/ 391160 h 391160"/>
                <a:gd name="connsiteX2" fmla="*/ 0 w 1549399"/>
                <a:gd name="connsiteY2" fmla="*/ 232409 h 391160"/>
                <a:gd name="connsiteX3" fmla="*/ 0 w 1549399"/>
                <a:gd name="connsiteY3" fmla="*/ 168911 h 391160"/>
                <a:gd name="connsiteX4" fmla="*/ 158751 w 1549399"/>
                <a:gd name="connsiteY4" fmla="*/ 10160 h 391160"/>
                <a:gd name="connsiteX5" fmla="*/ 1342389 w 1549399"/>
                <a:gd name="connsiteY5" fmla="*/ 0 h 39116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1549399" h="391160">
                  <a:moveTo>
                    <a:pt x="1549399" y="391160"/>
                  </a:moveTo>
                  <a:lnTo>
                    <a:pt x="158751" y="391160"/>
                  </a:lnTo>
                  <a:cubicBezTo>
                    <a:pt x="71075" y="391160"/>
                    <a:pt x="0" y="320085"/>
                    <a:pt x="0" y="232409"/>
                  </a:cubicBezTo>
                  <a:lnTo>
                    <a:pt x="0" y="168911"/>
                  </a:lnTo>
                  <a:cubicBezTo>
                    <a:pt x="0" y="81235"/>
                    <a:pt x="71075" y="10160"/>
                    <a:pt x="158751" y="10160"/>
                  </a:cubicBezTo>
                  <a:lnTo>
                    <a:pt x="1342389" y="0"/>
                  </a:lnTo>
                </a:path>
              </a:pathLst>
            </a:cu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100-0000E8000000}"/>
              </a:ext>
            </a:extLst>
          </xdr:cNvPr>
          <xdr:cNvSpPr/>
        </xdr:nvSpPr>
        <xdr:spPr>
          <a:xfrm>
            <a:off x="1758463" y="5314183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33" name="Rectangle 232">
            <a:extLst>
              <a:ext uri="{FF2B5EF4-FFF2-40B4-BE49-F238E27FC236}">
                <a16:creationId xmlns:a16="http://schemas.microsoft.com/office/drawing/2014/main" id="{00000000-0008-0000-0100-0000E9000000}"/>
              </a:ext>
            </a:extLst>
          </xdr:cNvPr>
          <xdr:cNvSpPr/>
        </xdr:nvSpPr>
        <xdr:spPr>
          <a:xfrm>
            <a:off x="1354016" y="5957486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34" name="Rectangle 233">
            <a:extLst>
              <a:ext uri="{FF2B5EF4-FFF2-40B4-BE49-F238E27FC236}">
                <a16:creationId xmlns:a16="http://schemas.microsoft.com/office/drawing/2014/main" id="{00000000-0008-0000-0100-0000EA000000}"/>
              </a:ext>
            </a:extLst>
          </xdr:cNvPr>
          <xdr:cNvSpPr/>
        </xdr:nvSpPr>
        <xdr:spPr>
          <a:xfrm rot="5400000">
            <a:off x="2088172" y="5627079"/>
            <a:ext cx="293077" cy="1758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100-0000EB000000}"/>
              </a:ext>
            </a:extLst>
          </xdr:cNvPr>
          <xdr:cNvSpPr/>
        </xdr:nvSpPr>
        <xdr:spPr>
          <a:xfrm rot="16200000">
            <a:off x="1054709" y="5717534"/>
            <a:ext cx="292156" cy="2767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534866</xdr:colOff>
      <xdr:row>37</xdr:row>
      <xdr:rowOff>168519</xdr:rowOff>
    </xdr:from>
    <xdr:to>
      <xdr:col>1</xdr:col>
      <xdr:colOff>1960491</xdr:colOff>
      <xdr:row>37</xdr:row>
      <xdr:rowOff>714831</xdr:rowOff>
    </xdr:to>
    <xdr:grpSp>
      <xdr:nvGrpSpPr>
        <xdr:cNvPr id="241" name="Group 240">
          <a:extLst>
            <a:ext uri="{FF2B5EF4-FFF2-40B4-BE49-F238E27FC236}">
              <a16:creationId xmlns:a16="http://schemas.microsoft.com/office/drawing/2014/main" id="{00000000-0008-0000-0100-0000F1000000}"/>
            </a:ext>
          </a:extLst>
        </xdr:cNvPr>
        <xdr:cNvGrpSpPr/>
      </xdr:nvGrpSpPr>
      <xdr:grpSpPr>
        <a:xfrm>
          <a:off x="1157166" y="30769169"/>
          <a:ext cx="1425625" cy="546312"/>
          <a:chOff x="1104900" y="6397101"/>
          <a:chExt cx="1425625" cy="546312"/>
        </a:xfrm>
      </xdr:grpSpPr>
      <xdr:sp macro="" textlink="">
        <xdr:nvSpPr>
          <xdr:cNvPr id="242" name="Freeform 241">
            <a:extLst>
              <a:ext uri="{FF2B5EF4-FFF2-40B4-BE49-F238E27FC236}">
                <a16:creationId xmlns:a16="http://schemas.microsoft.com/office/drawing/2014/main" id="{00000000-0008-0000-0100-0000F2000000}"/>
              </a:ext>
            </a:extLst>
          </xdr:cNvPr>
          <xdr:cNvSpPr/>
        </xdr:nvSpPr>
        <xdr:spPr>
          <a:xfrm>
            <a:off x="1128346" y="6579577"/>
            <a:ext cx="1377462" cy="285750"/>
          </a:xfrm>
          <a:custGeom>
            <a:avLst/>
            <a:gdLst>
              <a:gd name="connsiteX0" fmla="*/ 0 w 2047875"/>
              <a:gd name="connsiteY0" fmla="*/ 0 h 585107"/>
              <a:gd name="connsiteX1" fmla="*/ 353786 w 2047875"/>
              <a:gd name="connsiteY1" fmla="*/ 6803 h 585107"/>
              <a:gd name="connsiteX2" fmla="*/ 659946 w 2047875"/>
              <a:gd name="connsiteY2" fmla="*/ 585107 h 585107"/>
              <a:gd name="connsiteX3" fmla="*/ 1360714 w 2047875"/>
              <a:gd name="connsiteY3" fmla="*/ 571500 h 585107"/>
              <a:gd name="connsiteX4" fmla="*/ 1721304 w 2047875"/>
              <a:gd name="connsiteY4" fmla="*/ 13607 h 585107"/>
              <a:gd name="connsiteX5" fmla="*/ 2047875 w 2047875"/>
              <a:gd name="connsiteY5" fmla="*/ 20410 h 585107"/>
              <a:gd name="connsiteX0" fmla="*/ 0 w 2047875"/>
              <a:gd name="connsiteY0" fmla="*/ 6804 h 591911"/>
              <a:gd name="connsiteX1" fmla="*/ 340179 w 2047875"/>
              <a:gd name="connsiteY1" fmla="*/ 0 h 591911"/>
              <a:gd name="connsiteX2" fmla="*/ 659946 w 2047875"/>
              <a:gd name="connsiteY2" fmla="*/ 591911 h 591911"/>
              <a:gd name="connsiteX3" fmla="*/ 1360714 w 2047875"/>
              <a:gd name="connsiteY3" fmla="*/ 578304 h 591911"/>
              <a:gd name="connsiteX4" fmla="*/ 1721304 w 2047875"/>
              <a:gd name="connsiteY4" fmla="*/ 20411 h 591911"/>
              <a:gd name="connsiteX5" fmla="*/ 2047875 w 2047875"/>
              <a:gd name="connsiteY5" fmla="*/ 27214 h 591911"/>
              <a:gd name="connsiteX0" fmla="*/ 0 w 2047875"/>
              <a:gd name="connsiteY0" fmla="*/ 0 h 591911"/>
              <a:gd name="connsiteX1" fmla="*/ 340179 w 2047875"/>
              <a:gd name="connsiteY1" fmla="*/ 0 h 591911"/>
              <a:gd name="connsiteX2" fmla="*/ 659946 w 2047875"/>
              <a:gd name="connsiteY2" fmla="*/ 591911 h 591911"/>
              <a:gd name="connsiteX3" fmla="*/ 1360714 w 2047875"/>
              <a:gd name="connsiteY3" fmla="*/ 578304 h 591911"/>
              <a:gd name="connsiteX4" fmla="*/ 1721304 w 2047875"/>
              <a:gd name="connsiteY4" fmla="*/ 20411 h 591911"/>
              <a:gd name="connsiteX5" fmla="*/ 2047875 w 2047875"/>
              <a:gd name="connsiteY5" fmla="*/ 27214 h 591911"/>
              <a:gd name="connsiteX0" fmla="*/ 0 w 2047875"/>
              <a:gd name="connsiteY0" fmla="*/ 0 h 578304"/>
              <a:gd name="connsiteX1" fmla="*/ 340179 w 2047875"/>
              <a:gd name="connsiteY1" fmla="*/ 0 h 578304"/>
              <a:gd name="connsiteX2" fmla="*/ 680357 w 2047875"/>
              <a:gd name="connsiteY2" fmla="*/ 571500 h 578304"/>
              <a:gd name="connsiteX3" fmla="*/ 1360714 w 2047875"/>
              <a:gd name="connsiteY3" fmla="*/ 578304 h 578304"/>
              <a:gd name="connsiteX4" fmla="*/ 1721304 w 2047875"/>
              <a:gd name="connsiteY4" fmla="*/ 20411 h 578304"/>
              <a:gd name="connsiteX5" fmla="*/ 2047875 w 2047875"/>
              <a:gd name="connsiteY5" fmla="*/ 27214 h 578304"/>
              <a:gd name="connsiteX0" fmla="*/ 0 w 2047875"/>
              <a:gd name="connsiteY0" fmla="*/ 0 h 571500"/>
              <a:gd name="connsiteX1" fmla="*/ 340179 w 2047875"/>
              <a:gd name="connsiteY1" fmla="*/ 0 h 571500"/>
              <a:gd name="connsiteX2" fmla="*/ 680357 w 2047875"/>
              <a:gd name="connsiteY2" fmla="*/ 571500 h 571500"/>
              <a:gd name="connsiteX3" fmla="*/ 1360714 w 2047875"/>
              <a:gd name="connsiteY3" fmla="*/ 571500 h 571500"/>
              <a:gd name="connsiteX4" fmla="*/ 1721304 w 2047875"/>
              <a:gd name="connsiteY4" fmla="*/ 20411 h 571500"/>
              <a:gd name="connsiteX5" fmla="*/ 2047875 w 2047875"/>
              <a:gd name="connsiteY5" fmla="*/ 27214 h 571500"/>
              <a:gd name="connsiteX0" fmla="*/ 0 w 2047875"/>
              <a:gd name="connsiteY0" fmla="*/ 0 h 571500"/>
              <a:gd name="connsiteX1" fmla="*/ 340179 w 2047875"/>
              <a:gd name="connsiteY1" fmla="*/ 0 h 571500"/>
              <a:gd name="connsiteX2" fmla="*/ 680357 w 2047875"/>
              <a:gd name="connsiteY2" fmla="*/ 571500 h 571500"/>
              <a:gd name="connsiteX3" fmla="*/ 1360714 w 2047875"/>
              <a:gd name="connsiteY3" fmla="*/ 571500 h 571500"/>
              <a:gd name="connsiteX4" fmla="*/ 1700893 w 2047875"/>
              <a:gd name="connsiteY4" fmla="*/ 0 h 571500"/>
              <a:gd name="connsiteX5" fmla="*/ 2047875 w 2047875"/>
              <a:gd name="connsiteY5" fmla="*/ 27214 h 571500"/>
              <a:gd name="connsiteX0" fmla="*/ 0 w 2041071"/>
              <a:gd name="connsiteY0" fmla="*/ 0 h 571500"/>
              <a:gd name="connsiteX1" fmla="*/ 340179 w 2041071"/>
              <a:gd name="connsiteY1" fmla="*/ 0 h 571500"/>
              <a:gd name="connsiteX2" fmla="*/ 680357 w 2041071"/>
              <a:gd name="connsiteY2" fmla="*/ 571500 h 571500"/>
              <a:gd name="connsiteX3" fmla="*/ 1360714 w 2041071"/>
              <a:gd name="connsiteY3" fmla="*/ 571500 h 571500"/>
              <a:gd name="connsiteX4" fmla="*/ 1700893 w 2041071"/>
              <a:gd name="connsiteY4" fmla="*/ 0 h 571500"/>
              <a:gd name="connsiteX5" fmla="*/ 2041071 w 2041071"/>
              <a:gd name="connsiteY5" fmla="*/ 0 h 5715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2041071" h="571500">
                <a:moveTo>
                  <a:pt x="0" y="0"/>
                </a:moveTo>
                <a:lnTo>
                  <a:pt x="340179" y="0"/>
                </a:lnTo>
                <a:lnTo>
                  <a:pt x="680357" y="571500"/>
                </a:lnTo>
                <a:lnTo>
                  <a:pt x="1360714" y="571500"/>
                </a:lnTo>
                <a:lnTo>
                  <a:pt x="1700893" y="0"/>
                </a:lnTo>
                <a:lnTo>
                  <a:pt x="2041071" y="0"/>
                </a:lnTo>
              </a:path>
            </a:pathLst>
          </a:custGeom>
          <a:noFill/>
          <a:ln w="190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3" name="Rectangle 242">
            <a:extLst>
              <a:ext uri="{FF2B5EF4-FFF2-40B4-BE49-F238E27FC236}">
                <a16:creationId xmlns:a16="http://schemas.microsoft.com/office/drawing/2014/main" id="{00000000-0008-0000-0100-0000F3000000}"/>
              </a:ext>
            </a:extLst>
          </xdr:cNvPr>
          <xdr:cNvSpPr/>
        </xdr:nvSpPr>
        <xdr:spPr>
          <a:xfrm>
            <a:off x="1714500" y="6691643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100-0000F4000000}"/>
              </a:ext>
            </a:extLst>
          </xdr:cNvPr>
          <xdr:cNvSpPr/>
        </xdr:nvSpPr>
        <xdr:spPr>
          <a:xfrm>
            <a:off x="1104900" y="6397101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45" name="Rectangle 244">
            <a:extLst>
              <a:ext uri="{FF2B5EF4-FFF2-40B4-BE49-F238E27FC236}">
                <a16:creationId xmlns:a16="http://schemas.microsoft.com/office/drawing/2014/main" id="{00000000-0008-0000-0100-0000F5000000}"/>
              </a:ext>
            </a:extLst>
          </xdr:cNvPr>
          <xdr:cNvSpPr/>
        </xdr:nvSpPr>
        <xdr:spPr>
          <a:xfrm>
            <a:off x="2253761" y="6402962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46" name="Rectangle 245">
            <a:extLst>
              <a:ext uri="{FF2B5EF4-FFF2-40B4-BE49-F238E27FC236}">
                <a16:creationId xmlns:a16="http://schemas.microsoft.com/office/drawing/2014/main" id="{00000000-0008-0000-0100-0000F6000000}"/>
              </a:ext>
            </a:extLst>
          </xdr:cNvPr>
          <xdr:cNvSpPr/>
        </xdr:nvSpPr>
        <xdr:spPr>
          <a:xfrm rot="18541995">
            <a:off x="2127738" y="6709228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100-0000F7000000}"/>
              </a:ext>
            </a:extLst>
          </xdr:cNvPr>
          <xdr:cNvSpPr/>
        </xdr:nvSpPr>
        <xdr:spPr>
          <a:xfrm rot="3149067">
            <a:off x="1230924" y="6667499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417634</xdr:colOff>
      <xdr:row>38</xdr:row>
      <xdr:rowOff>183173</xdr:rowOff>
    </xdr:from>
    <xdr:to>
      <xdr:col>1</xdr:col>
      <xdr:colOff>2008683</xdr:colOff>
      <xdr:row>38</xdr:row>
      <xdr:rowOff>635244</xdr:rowOff>
    </xdr:to>
    <xdr:grpSp>
      <xdr:nvGrpSpPr>
        <xdr:cNvPr id="248" name="Group 247">
          <a:extLst>
            <a:ext uri="{FF2B5EF4-FFF2-40B4-BE49-F238E27FC236}">
              <a16:creationId xmlns:a16="http://schemas.microsoft.com/office/drawing/2014/main" id="{00000000-0008-0000-0100-0000F8000000}"/>
            </a:ext>
          </a:extLst>
        </xdr:cNvPr>
        <xdr:cNvGrpSpPr/>
      </xdr:nvGrpSpPr>
      <xdr:grpSpPr>
        <a:xfrm>
          <a:off x="1039934" y="31622023"/>
          <a:ext cx="1591049" cy="452071"/>
          <a:chOff x="984821" y="10543442"/>
          <a:chExt cx="1591049" cy="452071"/>
        </a:xfrm>
      </xdr:grpSpPr>
      <xdr:sp macro="" textlink="">
        <xdr:nvSpPr>
          <xdr:cNvPr id="249" name="Freeform 248">
            <a:extLst>
              <a:ext uri="{FF2B5EF4-FFF2-40B4-BE49-F238E27FC236}">
                <a16:creationId xmlns:a16="http://schemas.microsoft.com/office/drawing/2014/main" id="{00000000-0008-0000-0100-0000F9000000}"/>
              </a:ext>
            </a:extLst>
          </xdr:cNvPr>
          <xdr:cNvSpPr/>
        </xdr:nvSpPr>
        <xdr:spPr>
          <a:xfrm>
            <a:off x="1172308" y="10723817"/>
            <a:ext cx="1194289" cy="271696"/>
          </a:xfrm>
          <a:custGeom>
            <a:avLst/>
            <a:gdLst>
              <a:gd name="connsiteX0" fmla="*/ 2114550 w 2228850"/>
              <a:gd name="connsiteY0" fmla="*/ 276225 h 609600"/>
              <a:gd name="connsiteX1" fmla="*/ 2133600 w 2228850"/>
              <a:gd name="connsiteY1" fmla="*/ 571500 h 609600"/>
              <a:gd name="connsiteX2" fmla="*/ 1409700 w 2228850"/>
              <a:gd name="connsiteY2" fmla="*/ 609600 h 609600"/>
              <a:gd name="connsiteX3" fmla="*/ 742950 w 2228850"/>
              <a:gd name="connsiteY3" fmla="*/ 19050 h 609600"/>
              <a:gd name="connsiteX4" fmla="*/ 9525 w 2228850"/>
              <a:gd name="connsiteY4" fmla="*/ 9525 h 609600"/>
              <a:gd name="connsiteX5" fmla="*/ 0 w 2228850"/>
              <a:gd name="connsiteY5" fmla="*/ 600075 h 609600"/>
              <a:gd name="connsiteX6" fmla="*/ 742950 w 2228850"/>
              <a:gd name="connsiteY6" fmla="*/ 571500 h 609600"/>
              <a:gd name="connsiteX7" fmla="*/ 1771650 w 2228850"/>
              <a:gd name="connsiteY7" fmla="*/ 9525 h 609600"/>
              <a:gd name="connsiteX8" fmla="*/ 2162175 w 2228850"/>
              <a:gd name="connsiteY8" fmla="*/ 0 h 609600"/>
              <a:gd name="connsiteX9" fmla="*/ 2228850 w 2228850"/>
              <a:gd name="connsiteY9" fmla="*/ 390525 h 609600"/>
              <a:gd name="connsiteX0" fmla="*/ 2114550 w 2228850"/>
              <a:gd name="connsiteY0" fmla="*/ 276225 h 609600"/>
              <a:gd name="connsiteX1" fmla="*/ 2133600 w 2228850"/>
              <a:gd name="connsiteY1" fmla="*/ 571500 h 609600"/>
              <a:gd name="connsiteX2" fmla="*/ 1409700 w 2228850"/>
              <a:gd name="connsiteY2" fmla="*/ 609600 h 609600"/>
              <a:gd name="connsiteX3" fmla="*/ 742950 w 2228850"/>
              <a:gd name="connsiteY3" fmla="*/ 19050 h 609600"/>
              <a:gd name="connsiteX4" fmla="*/ 0 w 2228850"/>
              <a:gd name="connsiteY4" fmla="*/ 0 h 609600"/>
              <a:gd name="connsiteX5" fmla="*/ 0 w 2228850"/>
              <a:gd name="connsiteY5" fmla="*/ 600075 h 609600"/>
              <a:gd name="connsiteX6" fmla="*/ 742950 w 2228850"/>
              <a:gd name="connsiteY6" fmla="*/ 571500 h 609600"/>
              <a:gd name="connsiteX7" fmla="*/ 1771650 w 2228850"/>
              <a:gd name="connsiteY7" fmla="*/ 9525 h 609600"/>
              <a:gd name="connsiteX8" fmla="*/ 2162175 w 2228850"/>
              <a:gd name="connsiteY8" fmla="*/ 0 h 609600"/>
              <a:gd name="connsiteX9" fmla="*/ 2228850 w 2228850"/>
              <a:gd name="connsiteY9" fmla="*/ 390525 h 609600"/>
              <a:gd name="connsiteX0" fmla="*/ 2114550 w 2228850"/>
              <a:gd name="connsiteY0" fmla="*/ 276225 h 609600"/>
              <a:gd name="connsiteX1" fmla="*/ 2133600 w 2228850"/>
              <a:gd name="connsiteY1" fmla="*/ 571500 h 609600"/>
              <a:gd name="connsiteX2" fmla="*/ 1409700 w 2228850"/>
              <a:gd name="connsiteY2" fmla="*/ 609600 h 609600"/>
              <a:gd name="connsiteX3" fmla="*/ 742950 w 2228850"/>
              <a:gd name="connsiteY3" fmla="*/ 19050 h 609600"/>
              <a:gd name="connsiteX4" fmla="*/ 0 w 2228850"/>
              <a:gd name="connsiteY4" fmla="*/ 0 h 609600"/>
              <a:gd name="connsiteX5" fmla="*/ 0 w 2228850"/>
              <a:gd name="connsiteY5" fmla="*/ 571500 h 609600"/>
              <a:gd name="connsiteX6" fmla="*/ 742950 w 2228850"/>
              <a:gd name="connsiteY6" fmla="*/ 571500 h 609600"/>
              <a:gd name="connsiteX7" fmla="*/ 1771650 w 2228850"/>
              <a:gd name="connsiteY7" fmla="*/ 9525 h 609600"/>
              <a:gd name="connsiteX8" fmla="*/ 2162175 w 2228850"/>
              <a:gd name="connsiteY8" fmla="*/ 0 h 609600"/>
              <a:gd name="connsiteX9" fmla="*/ 2228850 w 2228850"/>
              <a:gd name="connsiteY9" fmla="*/ 390525 h 609600"/>
              <a:gd name="connsiteX0" fmla="*/ 2114550 w 2228850"/>
              <a:gd name="connsiteY0" fmla="*/ 276225 h 609600"/>
              <a:gd name="connsiteX1" fmla="*/ 2133600 w 2228850"/>
              <a:gd name="connsiteY1" fmla="*/ 571500 h 609600"/>
              <a:gd name="connsiteX2" fmla="*/ 1409700 w 2228850"/>
              <a:gd name="connsiteY2" fmla="*/ 609600 h 609600"/>
              <a:gd name="connsiteX3" fmla="*/ 685800 w 2228850"/>
              <a:gd name="connsiteY3" fmla="*/ 0 h 609600"/>
              <a:gd name="connsiteX4" fmla="*/ 0 w 2228850"/>
              <a:gd name="connsiteY4" fmla="*/ 0 h 609600"/>
              <a:gd name="connsiteX5" fmla="*/ 0 w 2228850"/>
              <a:gd name="connsiteY5" fmla="*/ 571500 h 609600"/>
              <a:gd name="connsiteX6" fmla="*/ 742950 w 2228850"/>
              <a:gd name="connsiteY6" fmla="*/ 571500 h 609600"/>
              <a:gd name="connsiteX7" fmla="*/ 1771650 w 2228850"/>
              <a:gd name="connsiteY7" fmla="*/ 9525 h 609600"/>
              <a:gd name="connsiteX8" fmla="*/ 2162175 w 2228850"/>
              <a:gd name="connsiteY8" fmla="*/ 0 h 609600"/>
              <a:gd name="connsiteX9" fmla="*/ 2228850 w 2228850"/>
              <a:gd name="connsiteY9" fmla="*/ 390525 h 609600"/>
              <a:gd name="connsiteX0" fmla="*/ 2114550 w 2228850"/>
              <a:gd name="connsiteY0" fmla="*/ 276225 h 609600"/>
              <a:gd name="connsiteX1" fmla="*/ 2133600 w 2228850"/>
              <a:gd name="connsiteY1" fmla="*/ 571500 h 609600"/>
              <a:gd name="connsiteX2" fmla="*/ 1409700 w 2228850"/>
              <a:gd name="connsiteY2" fmla="*/ 609600 h 609600"/>
              <a:gd name="connsiteX3" fmla="*/ 685800 w 2228850"/>
              <a:gd name="connsiteY3" fmla="*/ 0 h 609600"/>
              <a:gd name="connsiteX4" fmla="*/ 0 w 2228850"/>
              <a:gd name="connsiteY4" fmla="*/ 0 h 609600"/>
              <a:gd name="connsiteX5" fmla="*/ 0 w 2228850"/>
              <a:gd name="connsiteY5" fmla="*/ 571500 h 609600"/>
              <a:gd name="connsiteX6" fmla="*/ 685800 w 2228850"/>
              <a:gd name="connsiteY6" fmla="*/ 571500 h 609600"/>
              <a:gd name="connsiteX7" fmla="*/ 1771650 w 2228850"/>
              <a:gd name="connsiteY7" fmla="*/ 9525 h 609600"/>
              <a:gd name="connsiteX8" fmla="*/ 2162175 w 2228850"/>
              <a:gd name="connsiteY8" fmla="*/ 0 h 609600"/>
              <a:gd name="connsiteX9" fmla="*/ 2228850 w 2228850"/>
              <a:gd name="connsiteY9" fmla="*/ 390525 h 609600"/>
              <a:gd name="connsiteX0" fmla="*/ 2114550 w 2228850"/>
              <a:gd name="connsiteY0" fmla="*/ 276225 h 571500"/>
              <a:gd name="connsiteX1" fmla="*/ 2133600 w 2228850"/>
              <a:gd name="connsiteY1" fmla="*/ 571500 h 571500"/>
              <a:gd name="connsiteX2" fmla="*/ 1371600 w 2228850"/>
              <a:gd name="connsiteY2" fmla="*/ 571500 h 571500"/>
              <a:gd name="connsiteX3" fmla="*/ 685800 w 2228850"/>
              <a:gd name="connsiteY3" fmla="*/ 0 h 571500"/>
              <a:gd name="connsiteX4" fmla="*/ 0 w 2228850"/>
              <a:gd name="connsiteY4" fmla="*/ 0 h 571500"/>
              <a:gd name="connsiteX5" fmla="*/ 0 w 2228850"/>
              <a:gd name="connsiteY5" fmla="*/ 571500 h 571500"/>
              <a:gd name="connsiteX6" fmla="*/ 685800 w 2228850"/>
              <a:gd name="connsiteY6" fmla="*/ 571500 h 571500"/>
              <a:gd name="connsiteX7" fmla="*/ 1771650 w 2228850"/>
              <a:gd name="connsiteY7" fmla="*/ 9525 h 571500"/>
              <a:gd name="connsiteX8" fmla="*/ 2162175 w 2228850"/>
              <a:gd name="connsiteY8" fmla="*/ 0 h 571500"/>
              <a:gd name="connsiteX9" fmla="*/ 2228850 w 2228850"/>
              <a:gd name="connsiteY9" fmla="*/ 390525 h 571500"/>
              <a:gd name="connsiteX0" fmla="*/ 2114550 w 2228850"/>
              <a:gd name="connsiteY0" fmla="*/ 276225 h 571500"/>
              <a:gd name="connsiteX1" fmla="*/ 2133600 w 2228850"/>
              <a:gd name="connsiteY1" fmla="*/ 571500 h 571500"/>
              <a:gd name="connsiteX2" fmla="*/ 1371600 w 2228850"/>
              <a:gd name="connsiteY2" fmla="*/ 571500 h 571500"/>
              <a:gd name="connsiteX3" fmla="*/ 685800 w 2228850"/>
              <a:gd name="connsiteY3" fmla="*/ 0 h 571500"/>
              <a:gd name="connsiteX4" fmla="*/ 0 w 2228850"/>
              <a:gd name="connsiteY4" fmla="*/ 0 h 571500"/>
              <a:gd name="connsiteX5" fmla="*/ 0 w 2228850"/>
              <a:gd name="connsiteY5" fmla="*/ 571500 h 571500"/>
              <a:gd name="connsiteX6" fmla="*/ 685800 w 2228850"/>
              <a:gd name="connsiteY6" fmla="*/ 571500 h 571500"/>
              <a:gd name="connsiteX7" fmla="*/ 1371600 w 2228850"/>
              <a:gd name="connsiteY7" fmla="*/ 0 h 571500"/>
              <a:gd name="connsiteX8" fmla="*/ 2162175 w 2228850"/>
              <a:gd name="connsiteY8" fmla="*/ 0 h 571500"/>
              <a:gd name="connsiteX9" fmla="*/ 2228850 w 2228850"/>
              <a:gd name="connsiteY9" fmla="*/ 390525 h 571500"/>
              <a:gd name="connsiteX0" fmla="*/ 2114550 w 2228850"/>
              <a:gd name="connsiteY0" fmla="*/ 276225 h 571500"/>
              <a:gd name="connsiteX1" fmla="*/ 2057400 w 2228850"/>
              <a:gd name="connsiteY1" fmla="*/ 571500 h 571500"/>
              <a:gd name="connsiteX2" fmla="*/ 1371600 w 2228850"/>
              <a:gd name="connsiteY2" fmla="*/ 571500 h 571500"/>
              <a:gd name="connsiteX3" fmla="*/ 685800 w 2228850"/>
              <a:gd name="connsiteY3" fmla="*/ 0 h 571500"/>
              <a:gd name="connsiteX4" fmla="*/ 0 w 2228850"/>
              <a:gd name="connsiteY4" fmla="*/ 0 h 571500"/>
              <a:gd name="connsiteX5" fmla="*/ 0 w 2228850"/>
              <a:gd name="connsiteY5" fmla="*/ 571500 h 571500"/>
              <a:gd name="connsiteX6" fmla="*/ 685800 w 2228850"/>
              <a:gd name="connsiteY6" fmla="*/ 571500 h 571500"/>
              <a:gd name="connsiteX7" fmla="*/ 1371600 w 2228850"/>
              <a:gd name="connsiteY7" fmla="*/ 0 h 571500"/>
              <a:gd name="connsiteX8" fmla="*/ 2162175 w 2228850"/>
              <a:gd name="connsiteY8" fmla="*/ 0 h 571500"/>
              <a:gd name="connsiteX9" fmla="*/ 2228850 w 2228850"/>
              <a:gd name="connsiteY9" fmla="*/ 390525 h 571500"/>
              <a:gd name="connsiteX0" fmla="*/ 2057400 w 2228850"/>
              <a:gd name="connsiteY0" fmla="*/ 285750 h 571500"/>
              <a:gd name="connsiteX1" fmla="*/ 2057400 w 2228850"/>
              <a:gd name="connsiteY1" fmla="*/ 571500 h 571500"/>
              <a:gd name="connsiteX2" fmla="*/ 1371600 w 2228850"/>
              <a:gd name="connsiteY2" fmla="*/ 571500 h 571500"/>
              <a:gd name="connsiteX3" fmla="*/ 685800 w 2228850"/>
              <a:gd name="connsiteY3" fmla="*/ 0 h 571500"/>
              <a:gd name="connsiteX4" fmla="*/ 0 w 2228850"/>
              <a:gd name="connsiteY4" fmla="*/ 0 h 571500"/>
              <a:gd name="connsiteX5" fmla="*/ 0 w 2228850"/>
              <a:gd name="connsiteY5" fmla="*/ 571500 h 571500"/>
              <a:gd name="connsiteX6" fmla="*/ 685800 w 2228850"/>
              <a:gd name="connsiteY6" fmla="*/ 571500 h 571500"/>
              <a:gd name="connsiteX7" fmla="*/ 1371600 w 2228850"/>
              <a:gd name="connsiteY7" fmla="*/ 0 h 571500"/>
              <a:gd name="connsiteX8" fmla="*/ 2162175 w 2228850"/>
              <a:gd name="connsiteY8" fmla="*/ 0 h 571500"/>
              <a:gd name="connsiteX9" fmla="*/ 2228850 w 2228850"/>
              <a:gd name="connsiteY9" fmla="*/ 390525 h 571500"/>
              <a:gd name="connsiteX0" fmla="*/ 2057400 w 2400300"/>
              <a:gd name="connsiteY0" fmla="*/ 285750 h 571500"/>
              <a:gd name="connsiteX1" fmla="*/ 2057400 w 2400300"/>
              <a:gd name="connsiteY1" fmla="*/ 571500 h 571500"/>
              <a:gd name="connsiteX2" fmla="*/ 1371600 w 2400300"/>
              <a:gd name="connsiteY2" fmla="*/ 571500 h 571500"/>
              <a:gd name="connsiteX3" fmla="*/ 685800 w 2400300"/>
              <a:gd name="connsiteY3" fmla="*/ 0 h 571500"/>
              <a:gd name="connsiteX4" fmla="*/ 0 w 2400300"/>
              <a:gd name="connsiteY4" fmla="*/ 0 h 571500"/>
              <a:gd name="connsiteX5" fmla="*/ 0 w 2400300"/>
              <a:gd name="connsiteY5" fmla="*/ 571500 h 571500"/>
              <a:gd name="connsiteX6" fmla="*/ 685800 w 2400300"/>
              <a:gd name="connsiteY6" fmla="*/ 571500 h 571500"/>
              <a:gd name="connsiteX7" fmla="*/ 1371600 w 2400300"/>
              <a:gd name="connsiteY7" fmla="*/ 0 h 571500"/>
              <a:gd name="connsiteX8" fmla="*/ 2162175 w 2400300"/>
              <a:gd name="connsiteY8" fmla="*/ 0 h 571500"/>
              <a:gd name="connsiteX9" fmla="*/ 2400300 w 2400300"/>
              <a:gd name="connsiteY9" fmla="*/ 285750 h 571500"/>
              <a:gd name="connsiteX0" fmla="*/ 2057400 w 2400300"/>
              <a:gd name="connsiteY0" fmla="*/ 285750 h 571500"/>
              <a:gd name="connsiteX1" fmla="*/ 2057400 w 2400300"/>
              <a:gd name="connsiteY1" fmla="*/ 571500 h 571500"/>
              <a:gd name="connsiteX2" fmla="*/ 1371600 w 2400300"/>
              <a:gd name="connsiteY2" fmla="*/ 571500 h 571500"/>
              <a:gd name="connsiteX3" fmla="*/ 685800 w 2400300"/>
              <a:gd name="connsiteY3" fmla="*/ 0 h 571500"/>
              <a:gd name="connsiteX4" fmla="*/ 0 w 2400300"/>
              <a:gd name="connsiteY4" fmla="*/ 0 h 571500"/>
              <a:gd name="connsiteX5" fmla="*/ 0 w 2400300"/>
              <a:gd name="connsiteY5" fmla="*/ 571500 h 571500"/>
              <a:gd name="connsiteX6" fmla="*/ 685800 w 2400300"/>
              <a:gd name="connsiteY6" fmla="*/ 571500 h 571500"/>
              <a:gd name="connsiteX7" fmla="*/ 1371600 w 2400300"/>
              <a:gd name="connsiteY7" fmla="*/ 0 h 571500"/>
              <a:gd name="connsiteX8" fmla="*/ 2400300 w 2400300"/>
              <a:gd name="connsiteY8" fmla="*/ 0 h 571500"/>
              <a:gd name="connsiteX9" fmla="*/ 2400300 w 2400300"/>
              <a:gd name="connsiteY9" fmla="*/ 285750 h 571500"/>
              <a:gd name="connsiteX0" fmla="*/ 2057400 w 2400300"/>
              <a:gd name="connsiteY0" fmla="*/ 285750 h 571500"/>
              <a:gd name="connsiteX1" fmla="*/ 2057400 w 2400300"/>
              <a:gd name="connsiteY1" fmla="*/ 571500 h 571500"/>
              <a:gd name="connsiteX2" fmla="*/ 1371600 w 2400300"/>
              <a:gd name="connsiteY2" fmla="*/ 571500 h 571500"/>
              <a:gd name="connsiteX3" fmla="*/ 685800 w 2400300"/>
              <a:gd name="connsiteY3" fmla="*/ 0 h 571500"/>
              <a:gd name="connsiteX4" fmla="*/ 0 w 2400300"/>
              <a:gd name="connsiteY4" fmla="*/ 0 h 571500"/>
              <a:gd name="connsiteX5" fmla="*/ 0 w 2400300"/>
              <a:gd name="connsiteY5" fmla="*/ 571500 h 571500"/>
              <a:gd name="connsiteX6" fmla="*/ 685800 w 2400300"/>
              <a:gd name="connsiteY6" fmla="*/ 571500 h 571500"/>
              <a:gd name="connsiteX7" fmla="*/ 1371600 w 2400300"/>
              <a:gd name="connsiteY7" fmla="*/ 0 h 571500"/>
              <a:gd name="connsiteX8" fmla="*/ 2400300 w 2400300"/>
              <a:gd name="connsiteY8" fmla="*/ 0 h 571500"/>
              <a:gd name="connsiteX9" fmla="*/ 2400300 w 2400300"/>
              <a:gd name="connsiteY9" fmla="*/ 285750 h 571500"/>
              <a:gd name="connsiteX0" fmla="*/ 2057400 w 2400300"/>
              <a:gd name="connsiteY0" fmla="*/ 285750 h 571500"/>
              <a:gd name="connsiteX1" fmla="*/ 2057400 w 2400300"/>
              <a:gd name="connsiteY1" fmla="*/ 571500 h 571500"/>
              <a:gd name="connsiteX2" fmla="*/ 1371600 w 2400300"/>
              <a:gd name="connsiteY2" fmla="*/ 571500 h 571500"/>
              <a:gd name="connsiteX3" fmla="*/ 685800 w 2400300"/>
              <a:gd name="connsiteY3" fmla="*/ 0 h 571500"/>
              <a:gd name="connsiteX4" fmla="*/ 0 w 2400300"/>
              <a:gd name="connsiteY4" fmla="*/ 0 h 571500"/>
              <a:gd name="connsiteX5" fmla="*/ 0 w 2400300"/>
              <a:gd name="connsiteY5" fmla="*/ 571500 h 571500"/>
              <a:gd name="connsiteX6" fmla="*/ 685800 w 2400300"/>
              <a:gd name="connsiteY6" fmla="*/ 571500 h 571500"/>
              <a:gd name="connsiteX7" fmla="*/ 1371600 w 2400300"/>
              <a:gd name="connsiteY7" fmla="*/ 0 h 571500"/>
              <a:gd name="connsiteX8" fmla="*/ 2400300 w 2400300"/>
              <a:gd name="connsiteY8" fmla="*/ 0 h 571500"/>
              <a:gd name="connsiteX9" fmla="*/ 2190750 w 2400300"/>
              <a:gd name="connsiteY9" fmla="*/ 266700 h 571500"/>
              <a:gd name="connsiteX0" fmla="*/ 2057400 w 2228850"/>
              <a:gd name="connsiteY0" fmla="*/ 295275 h 581025"/>
              <a:gd name="connsiteX1" fmla="*/ 2057400 w 2228850"/>
              <a:gd name="connsiteY1" fmla="*/ 581025 h 581025"/>
              <a:gd name="connsiteX2" fmla="*/ 1371600 w 2228850"/>
              <a:gd name="connsiteY2" fmla="*/ 581025 h 581025"/>
              <a:gd name="connsiteX3" fmla="*/ 685800 w 2228850"/>
              <a:gd name="connsiteY3" fmla="*/ 9525 h 581025"/>
              <a:gd name="connsiteX4" fmla="*/ 0 w 2228850"/>
              <a:gd name="connsiteY4" fmla="*/ 9525 h 581025"/>
              <a:gd name="connsiteX5" fmla="*/ 0 w 2228850"/>
              <a:gd name="connsiteY5" fmla="*/ 581025 h 581025"/>
              <a:gd name="connsiteX6" fmla="*/ 685800 w 2228850"/>
              <a:gd name="connsiteY6" fmla="*/ 581025 h 581025"/>
              <a:gd name="connsiteX7" fmla="*/ 1371600 w 2228850"/>
              <a:gd name="connsiteY7" fmla="*/ 9525 h 581025"/>
              <a:gd name="connsiteX8" fmla="*/ 2228850 w 2228850"/>
              <a:gd name="connsiteY8" fmla="*/ 0 h 581025"/>
              <a:gd name="connsiteX9" fmla="*/ 2190750 w 2228850"/>
              <a:gd name="connsiteY9" fmla="*/ 276225 h 581025"/>
              <a:gd name="connsiteX0" fmla="*/ 2057400 w 2190750"/>
              <a:gd name="connsiteY0" fmla="*/ 295275 h 581025"/>
              <a:gd name="connsiteX1" fmla="*/ 2057400 w 2190750"/>
              <a:gd name="connsiteY1" fmla="*/ 581025 h 581025"/>
              <a:gd name="connsiteX2" fmla="*/ 1371600 w 2190750"/>
              <a:gd name="connsiteY2" fmla="*/ 581025 h 581025"/>
              <a:gd name="connsiteX3" fmla="*/ 685800 w 2190750"/>
              <a:gd name="connsiteY3" fmla="*/ 9525 h 581025"/>
              <a:gd name="connsiteX4" fmla="*/ 0 w 2190750"/>
              <a:gd name="connsiteY4" fmla="*/ 9525 h 581025"/>
              <a:gd name="connsiteX5" fmla="*/ 0 w 2190750"/>
              <a:gd name="connsiteY5" fmla="*/ 581025 h 581025"/>
              <a:gd name="connsiteX6" fmla="*/ 685800 w 2190750"/>
              <a:gd name="connsiteY6" fmla="*/ 581025 h 581025"/>
              <a:gd name="connsiteX7" fmla="*/ 1371600 w 2190750"/>
              <a:gd name="connsiteY7" fmla="*/ 9525 h 581025"/>
              <a:gd name="connsiteX8" fmla="*/ 2181225 w 2190750"/>
              <a:gd name="connsiteY8" fmla="*/ 0 h 581025"/>
              <a:gd name="connsiteX9" fmla="*/ 2190750 w 2190750"/>
              <a:gd name="connsiteY9" fmla="*/ 276225 h 581025"/>
              <a:gd name="connsiteX0" fmla="*/ 2057400 w 2219325"/>
              <a:gd name="connsiteY0" fmla="*/ 295275 h 581025"/>
              <a:gd name="connsiteX1" fmla="*/ 2057400 w 2219325"/>
              <a:gd name="connsiteY1" fmla="*/ 581025 h 581025"/>
              <a:gd name="connsiteX2" fmla="*/ 1371600 w 2219325"/>
              <a:gd name="connsiteY2" fmla="*/ 581025 h 581025"/>
              <a:gd name="connsiteX3" fmla="*/ 685800 w 2219325"/>
              <a:gd name="connsiteY3" fmla="*/ 9525 h 581025"/>
              <a:gd name="connsiteX4" fmla="*/ 0 w 2219325"/>
              <a:gd name="connsiteY4" fmla="*/ 9525 h 581025"/>
              <a:gd name="connsiteX5" fmla="*/ 0 w 2219325"/>
              <a:gd name="connsiteY5" fmla="*/ 581025 h 581025"/>
              <a:gd name="connsiteX6" fmla="*/ 685800 w 2219325"/>
              <a:gd name="connsiteY6" fmla="*/ 581025 h 581025"/>
              <a:gd name="connsiteX7" fmla="*/ 1371600 w 2219325"/>
              <a:gd name="connsiteY7" fmla="*/ 9525 h 581025"/>
              <a:gd name="connsiteX8" fmla="*/ 2219325 w 2219325"/>
              <a:gd name="connsiteY8" fmla="*/ 0 h 581025"/>
              <a:gd name="connsiteX9" fmla="*/ 2190750 w 2219325"/>
              <a:gd name="connsiteY9" fmla="*/ 276225 h 581025"/>
              <a:gd name="connsiteX0" fmla="*/ 2057400 w 2190750"/>
              <a:gd name="connsiteY0" fmla="*/ 295275 h 581025"/>
              <a:gd name="connsiteX1" fmla="*/ 2057400 w 2190750"/>
              <a:gd name="connsiteY1" fmla="*/ 581025 h 581025"/>
              <a:gd name="connsiteX2" fmla="*/ 1371600 w 2190750"/>
              <a:gd name="connsiteY2" fmla="*/ 581025 h 581025"/>
              <a:gd name="connsiteX3" fmla="*/ 685800 w 2190750"/>
              <a:gd name="connsiteY3" fmla="*/ 9525 h 581025"/>
              <a:gd name="connsiteX4" fmla="*/ 0 w 2190750"/>
              <a:gd name="connsiteY4" fmla="*/ 9525 h 581025"/>
              <a:gd name="connsiteX5" fmla="*/ 0 w 2190750"/>
              <a:gd name="connsiteY5" fmla="*/ 581025 h 581025"/>
              <a:gd name="connsiteX6" fmla="*/ 685800 w 2190750"/>
              <a:gd name="connsiteY6" fmla="*/ 581025 h 581025"/>
              <a:gd name="connsiteX7" fmla="*/ 1371600 w 2190750"/>
              <a:gd name="connsiteY7" fmla="*/ 9525 h 581025"/>
              <a:gd name="connsiteX8" fmla="*/ 2162175 w 2190750"/>
              <a:gd name="connsiteY8" fmla="*/ 0 h 581025"/>
              <a:gd name="connsiteX9" fmla="*/ 2190750 w 2190750"/>
              <a:gd name="connsiteY9" fmla="*/ 276225 h 581025"/>
              <a:gd name="connsiteX0" fmla="*/ 2057400 w 2200275"/>
              <a:gd name="connsiteY0" fmla="*/ 295275 h 581025"/>
              <a:gd name="connsiteX1" fmla="*/ 2057400 w 2200275"/>
              <a:gd name="connsiteY1" fmla="*/ 581025 h 581025"/>
              <a:gd name="connsiteX2" fmla="*/ 1371600 w 2200275"/>
              <a:gd name="connsiteY2" fmla="*/ 581025 h 581025"/>
              <a:gd name="connsiteX3" fmla="*/ 685800 w 2200275"/>
              <a:gd name="connsiteY3" fmla="*/ 9525 h 581025"/>
              <a:gd name="connsiteX4" fmla="*/ 0 w 2200275"/>
              <a:gd name="connsiteY4" fmla="*/ 9525 h 581025"/>
              <a:gd name="connsiteX5" fmla="*/ 0 w 2200275"/>
              <a:gd name="connsiteY5" fmla="*/ 581025 h 581025"/>
              <a:gd name="connsiteX6" fmla="*/ 685800 w 2200275"/>
              <a:gd name="connsiteY6" fmla="*/ 581025 h 581025"/>
              <a:gd name="connsiteX7" fmla="*/ 1371600 w 2200275"/>
              <a:gd name="connsiteY7" fmla="*/ 9525 h 581025"/>
              <a:gd name="connsiteX8" fmla="*/ 2200275 w 2200275"/>
              <a:gd name="connsiteY8" fmla="*/ 0 h 581025"/>
              <a:gd name="connsiteX9" fmla="*/ 2190750 w 2200275"/>
              <a:gd name="connsiteY9" fmla="*/ 276225 h 581025"/>
              <a:gd name="connsiteX0" fmla="*/ 2057400 w 2190750"/>
              <a:gd name="connsiteY0" fmla="*/ 295275 h 581025"/>
              <a:gd name="connsiteX1" fmla="*/ 2057400 w 2190750"/>
              <a:gd name="connsiteY1" fmla="*/ 581025 h 581025"/>
              <a:gd name="connsiteX2" fmla="*/ 1371600 w 2190750"/>
              <a:gd name="connsiteY2" fmla="*/ 581025 h 581025"/>
              <a:gd name="connsiteX3" fmla="*/ 685800 w 2190750"/>
              <a:gd name="connsiteY3" fmla="*/ 9525 h 581025"/>
              <a:gd name="connsiteX4" fmla="*/ 0 w 2190750"/>
              <a:gd name="connsiteY4" fmla="*/ 9525 h 581025"/>
              <a:gd name="connsiteX5" fmla="*/ 0 w 2190750"/>
              <a:gd name="connsiteY5" fmla="*/ 581025 h 581025"/>
              <a:gd name="connsiteX6" fmla="*/ 685800 w 2190750"/>
              <a:gd name="connsiteY6" fmla="*/ 581025 h 581025"/>
              <a:gd name="connsiteX7" fmla="*/ 1371600 w 2190750"/>
              <a:gd name="connsiteY7" fmla="*/ 9525 h 581025"/>
              <a:gd name="connsiteX8" fmla="*/ 2162175 w 2190750"/>
              <a:gd name="connsiteY8" fmla="*/ 0 h 581025"/>
              <a:gd name="connsiteX9" fmla="*/ 2190750 w 2190750"/>
              <a:gd name="connsiteY9" fmla="*/ 276225 h 581025"/>
              <a:gd name="connsiteX0" fmla="*/ 2057400 w 2209800"/>
              <a:gd name="connsiteY0" fmla="*/ 295275 h 581025"/>
              <a:gd name="connsiteX1" fmla="*/ 2057400 w 2209800"/>
              <a:gd name="connsiteY1" fmla="*/ 581025 h 581025"/>
              <a:gd name="connsiteX2" fmla="*/ 1371600 w 2209800"/>
              <a:gd name="connsiteY2" fmla="*/ 581025 h 581025"/>
              <a:gd name="connsiteX3" fmla="*/ 685800 w 2209800"/>
              <a:gd name="connsiteY3" fmla="*/ 9525 h 581025"/>
              <a:gd name="connsiteX4" fmla="*/ 0 w 2209800"/>
              <a:gd name="connsiteY4" fmla="*/ 9525 h 581025"/>
              <a:gd name="connsiteX5" fmla="*/ 0 w 2209800"/>
              <a:gd name="connsiteY5" fmla="*/ 581025 h 581025"/>
              <a:gd name="connsiteX6" fmla="*/ 685800 w 2209800"/>
              <a:gd name="connsiteY6" fmla="*/ 581025 h 581025"/>
              <a:gd name="connsiteX7" fmla="*/ 1371600 w 2209800"/>
              <a:gd name="connsiteY7" fmla="*/ 9525 h 581025"/>
              <a:gd name="connsiteX8" fmla="*/ 2209800 w 2209800"/>
              <a:gd name="connsiteY8" fmla="*/ 0 h 581025"/>
              <a:gd name="connsiteX9" fmla="*/ 2190750 w 2209800"/>
              <a:gd name="connsiteY9" fmla="*/ 276225 h 581025"/>
              <a:gd name="connsiteX0" fmla="*/ 2057400 w 2190750"/>
              <a:gd name="connsiteY0" fmla="*/ 295275 h 581025"/>
              <a:gd name="connsiteX1" fmla="*/ 2057400 w 2190750"/>
              <a:gd name="connsiteY1" fmla="*/ 581025 h 581025"/>
              <a:gd name="connsiteX2" fmla="*/ 1371600 w 2190750"/>
              <a:gd name="connsiteY2" fmla="*/ 581025 h 581025"/>
              <a:gd name="connsiteX3" fmla="*/ 685800 w 2190750"/>
              <a:gd name="connsiteY3" fmla="*/ 9525 h 581025"/>
              <a:gd name="connsiteX4" fmla="*/ 0 w 2190750"/>
              <a:gd name="connsiteY4" fmla="*/ 9525 h 581025"/>
              <a:gd name="connsiteX5" fmla="*/ 0 w 2190750"/>
              <a:gd name="connsiteY5" fmla="*/ 581025 h 581025"/>
              <a:gd name="connsiteX6" fmla="*/ 685800 w 2190750"/>
              <a:gd name="connsiteY6" fmla="*/ 581025 h 581025"/>
              <a:gd name="connsiteX7" fmla="*/ 1371600 w 2190750"/>
              <a:gd name="connsiteY7" fmla="*/ 9525 h 581025"/>
              <a:gd name="connsiteX8" fmla="*/ 2181225 w 2190750"/>
              <a:gd name="connsiteY8" fmla="*/ 0 h 581025"/>
              <a:gd name="connsiteX9" fmla="*/ 2190750 w 2190750"/>
              <a:gd name="connsiteY9" fmla="*/ 276225 h 581025"/>
              <a:gd name="connsiteX0" fmla="*/ 2057400 w 2213650"/>
              <a:gd name="connsiteY0" fmla="*/ 295275 h 601063"/>
              <a:gd name="connsiteX1" fmla="*/ 2057400 w 2213650"/>
              <a:gd name="connsiteY1" fmla="*/ 581025 h 601063"/>
              <a:gd name="connsiteX2" fmla="*/ 1371600 w 2213650"/>
              <a:gd name="connsiteY2" fmla="*/ 581025 h 601063"/>
              <a:gd name="connsiteX3" fmla="*/ 685800 w 2213650"/>
              <a:gd name="connsiteY3" fmla="*/ 9525 h 601063"/>
              <a:gd name="connsiteX4" fmla="*/ 0 w 2213650"/>
              <a:gd name="connsiteY4" fmla="*/ 9525 h 601063"/>
              <a:gd name="connsiteX5" fmla="*/ 0 w 2213650"/>
              <a:gd name="connsiteY5" fmla="*/ 581025 h 601063"/>
              <a:gd name="connsiteX6" fmla="*/ 685800 w 2213650"/>
              <a:gd name="connsiteY6" fmla="*/ 581025 h 601063"/>
              <a:gd name="connsiteX7" fmla="*/ 1371600 w 2213650"/>
              <a:gd name="connsiteY7" fmla="*/ 9525 h 601063"/>
              <a:gd name="connsiteX8" fmla="*/ 2181225 w 2213650"/>
              <a:gd name="connsiteY8" fmla="*/ 0 h 601063"/>
              <a:gd name="connsiteX9" fmla="*/ 2213650 w 2213650"/>
              <a:gd name="connsiteY9" fmla="*/ 601063 h 601063"/>
              <a:gd name="connsiteX0" fmla="*/ 2057400 w 2213650"/>
              <a:gd name="connsiteY0" fmla="*/ 295275 h 581025"/>
              <a:gd name="connsiteX1" fmla="*/ 2057400 w 2213650"/>
              <a:gd name="connsiteY1" fmla="*/ 581025 h 581025"/>
              <a:gd name="connsiteX2" fmla="*/ 1371600 w 2213650"/>
              <a:gd name="connsiteY2" fmla="*/ 581025 h 581025"/>
              <a:gd name="connsiteX3" fmla="*/ 685800 w 2213650"/>
              <a:gd name="connsiteY3" fmla="*/ 9525 h 581025"/>
              <a:gd name="connsiteX4" fmla="*/ 0 w 2213650"/>
              <a:gd name="connsiteY4" fmla="*/ 9525 h 581025"/>
              <a:gd name="connsiteX5" fmla="*/ 0 w 2213650"/>
              <a:gd name="connsiteY5" fmla="*/ 581025 h 581025"/>
              <a:gd name="connsiteX6" fmla="*/ 685800 w 2213650"/>
              <a:gd name="connsiteY6" fmla="*/ 581025 h 581025"/>
              <a:gd name="connsiteX7" fmla="*/ 1371600 w 2213650"/>
              <a:gd name="connsiteY7" fmla="*/ 9525 h 581025"/>
              <a:gd name="connsiteX8" fmla="*/ 2181225 w 2213650"/>
              <a:gd name="connsiteY8" fmla="*/ 0 h 581025"/>
              <a:gd name="connsiteX9" fmla="*/ 2213650 w 2213650"/>
              <a:gd name="connsiteY9" fmla="*/ 300532 h 581025"/>
              <a:gd name="connsiteX0" fmla="*/ 2057400 w 2181225"/>
              <a:gd name="connsiteY0" fmla="*/ 295275 h 581025"/>
              <a:gd name="connsiteX1" fmla="*/ 2057400 w 2181225"/>
              <a:gd name="connsiteY1" fmla="*/ 581025 h 581025"/>
              <a:gd name="connsiteX2" fmla="*/ 1371600 w 2181225"/>
              <a:gd name="connsiteY2" fmla="*/ 581025 h 581025"/>
              <a:gd name="connsiteX3" fmla="*/ 685800 w 2181225"/>
              <a:gd name="connsiteY3" fmla="*/ 9525 h 581025"/>
              <a:gd name="connsiteX4" fmla="*/ 0 w 2181225"/>
              <a:gd name="connsiteY4" fmla="*/ 9525 h 581025"/>
              <a:gd name="connsiteX5" fmla="*/ 0 w 2181225"/>
              <a:gd name="connsiteY5" fmla="*/ 581025 h 581025"/>
              <a:gd name="connsiteX6" fmla="*/ 685800 w 2181225"/>
              <a:gd name="connsiteY6" fmla="*/ 581025 h 581025"/>
              <a:gd name="connsiteX7" fmla="*/ 1371600 w 2181225"/>
              <a:gd name="connsiteY7" fmla="*/ 9525 h 581025"/>
              <a:gd name="connsiteX8" fmla="*/ 2181225 w 2181225"/>
              <a:gd name="connsiteY8" fmla="*/ 0 h 581025"/>
              <a:gd name="connsiteX9" fmla="*/ 2143679 w 2181225"/>
              <a:gd name="connsiteY9" fmla="*/ 438276 h 581025"/>
              <a:gd name="connsiteX0" fmla="*/ 2057400 w 2143679"/>
              <a:gd name="connsiteY0" fmla="*/ 295275 h 581025"/>
              <a:gd name="connsiteX1" fmla="*/ 2057400 w 2143679"/>
              <a:gd name="connsiteY1" fmla="*/ 581025 h 581025"/>
              <a:gd name="connsiteX2" fmla="*/ 1371600 w 2143679"/>
              <a:gd name="connsiteY2" fmla="*/ 581025 h 581025"/>
              <a:gd name="connsiteX3" fmla="*/ 685800 w 2143679"/>
              <a:gd name="connsiteY3" fmla="*/ 9525 h 581025"/>
              <a:gd name="connsiteX4" fmla="*/ 0 w 2143679"/>
              <a:gd name="connsiteY4" fmla="*/ 9525 h 581025"/>
              <a:gd name="connsiteX5" fmla="*/ 0 w 2143679"/>
              <a:gd name="connsiteY5" fmla="*/ 581025 h 581025"/>
              <a:gd name="connsiteX6" fmla="*/ 685800 w 2143679"/>
              <a:gd name="connsiteY6" fmla="*/ 581025 h 581025"/>
              <a:gd name="connsiteX7" fmla="*/ 1371600 w 2143679"/>
              <a:gd name="connsiteY7" fmla="*/ 9525 h 581025"/>
              <a:gd name="connsiteX8" fmla="*/ 2123976 w 2143679"/>
              <a:gd name="connsiteY8" fmla="*/ 0 h 581025"/>
              <a:gd name="connsiteX9" fmla="*/ 2143679 w 2143679"/>
              <a:gd name="connsiteY9" fmla="*/ 438276 h 581025"/>
              <a:gd name="connsiteX0" fmla="*/ 2057400 w 2149421"/>
              <a:gd name="connsiteY0" fmla="*/ 307797 h 593547"/>
              <a:gd name="connsiteX1" fmla="*/ 2057400 w 2149421"/>
              <a:gd name="connsiteY1" fmla="*/ 593547 h 593547"/>
              <a:gd name="connsiteX2" fmla="*/ 1371600 w 2149421"/>
              <a:gd name="connsiteY2" fmla="*/ 593547 h 593547"/>
              <a:gd name="connsiteX3" fmla="*/ 685800 w 2149421"/>
              <a:gd name="connsiteY3" fmla="*/ 22047 h 593547"/>
              <a:gd name="connsiteX4" fmla="*/ 0 w 2149421"/>
              <a:gd name="connsiteY4" fmla="*/ 22047 h 593547"/>
              <a:gd name="connsiteX5" fmla="*/ 0 w 2149421"/>
              <a:gd name="connsiteY5" fmla="*/ 593547 h 593547"/>
              <a:gd name="connsiteX6" fmla="*/ 685800 w 2149421"/>
              <a:gd name="connsiteY6" fmla="*/ 593547 h 593547"/>
              <a:gd name="connsiteX7" fmla="*/ 1371600 w 2149421"/>
              <a:gd name="connsiteY7" fmla="*/ 22047 h 593547"/>
              <a:gd name="connsiteX8" fmla="*/ 2149421 w 2149421"/>
              <a:gd name="connsiteY8" fmla="*/ 0 h 593547"/>
              <a:gd name="connsiteX9" fmla="*/ 2143679 w 2149421"/>
              <a:gd name="connsiteY9" fmla="*/ 450798 h 593547"/>
              <a:gd name="connsiteX0" fmla="*/ 2057400 w 2143679"/>
              <a:gd name="connsiteY0" fmla="*/ 285751 h 571501"/>
              <a:gd name="connsiteX1" fmla="*/ 2057400 w 2143679"/>
              <a:gd name="connsiteY1" fmla="*/ 571501 h 571501"/>
              <a:gd name="connsiteX2" fmla="*/ 1371600 w 2143679"/>
              <a:gd name="connsiteY2" fmla="*/ 571501 h 571501"/>
              <a:gd name="connsiteX3" fmla="*/ 685800 w 2143679"/>
              <a:gd name="connsiteY3" fmla="*/ 1 h 571501"/>
              <a:gd name="connsiteX4" fmla="*/ 0 w 2143679"/>
              <a:gd name="connsiteY4" fmla="*/ 1 h 571501"/>
              <a:gd name="connsiteX5" fmla="*/ 0 w 2143679"/>
              <a:gd name="connsiteY5" fmla="*/ 571501 h 571501"/>
              <a:gd name="connsiteX6" fmla="*/ 685800 w 2143679"/>
              <a:gd name="connsiteY6" fmla="*/ 571501 h 571501"/>
              <a:gd name="connsiteX7" fmla="*/ 1371600 w 2143679"/>
              <a:gd name="connsiteY7" fmla="*/ 1 h 571501"/>
              <a:gd name="connsiteX8" fmla="*/ 2136699 w 2143679"/>
              <a:gd name="connsiteY8" fmla="*/ 2998 h 571501"/>
              <a:gd name="connsiteX9" fmla="*/ 2143679 w 2143679"/>
              <a:gd name="connsiteY9" fmla="*/ 428752 h 571501"/>
              <a:gd name="connsiteX0" fmla="*/ 2057400 w 2213650"/>
              <a:gd name="connsiteY0" fmla="*/ 285751 h 591539"/>
              <a:gd name="connsiteX1" fmla="*/ 2057400 w 2213650"/>
              <a:gd name="connsiteY1" fmla="*/ 571501 h 591539"/>
              <a:gd name="connsiteX2" fmla="*/ 1371600 w 2213650"/>
              <a:gd name="connsiteY2" fmla="*/ 571501 h 591539"/>
              <a:gd name="connsiteX3" fmla="*/ 685800 w 2213650"/>
              <a:gd name="connsiteY3" fmla="*/ 1 h 591539"/>
              <a:gd name="connsiteX4" fmla="*/ 0 w 2213650"/>
              <a:gd name="connsiteY4" fmla="*/ 1 h 591539"/>
              <a:gd name="connsiteX5" fmla="*/ 0 w 2213650"/>
              <a:gd name="connsiteY5" fmla="*/ 571501 h 591539"/>
              <a:gd name="connsiteX6" fmla="*/ 685800 w 2213650"/>
              <a:gd name="connsiteY6" fmla="*/ 571501 h 591539"/>
              <a:gd name="connsiteX7" fmla="*/ 1371600 w 2213650"/>
              <a:gd name="connsiteY7" fmla="*/ 1 h 591539"/>
              <a:gd name="connsiteX8" fmla="*/ 2136699 w 2213650"/>
              <a:gd name="connsiteY8" fmla="*/ 2998 h 591539"/>
              <a:gd name="connsiteX9" fmla="*/ 2213650 w 2213650"/>
              <a:gd name="connsiteY9" fmla="*/ 591539 h 591539"/>
              <a:gd name="connsiteX0" fmla="*/ 2057400 w 2137317"/>
              <a:gd name="connsiteY0" fmla="*/ 285751 h 571501"/>
              <a:gd name="connsiteX1" fmla="*/ 2057400 w 2137317"/>
              <a:gd name="connsiteY1" fmla="*/ 571501 h 571501"/>
              <a:gd name="connsiteX2" fmla="*/ 1371600 w 2137317"/>
              <a:gd name="connsiteY2" fmla="*/ 571501 h 571501"/>
              <a:gd name="connsiteX3" fmla="*/ 685800 w 2137317"/>
              <a:gd name="connsiteY3" fmla="*/ 1 h 571501"/>
              <a:gd name="connsiteX4" fmla="*/ 0 w 2137317"/>
              <a:gd name="connsiteY4" fmla="*/ 1 h 571501"/>
              <a:gd name="connsiteX5" fmla="*/ 0 w 2137317"/>
              <a:gd name="connsiteY5" fmla="*/ 571501 h 571501"/>
              <a:gd name="connsiteX6" fmla="*/ 685800 w 2137317"/>
              <a:gd name="connsiteY6" fmla="*/ 571501 h 571501"/>
              <a:gd name="connsiteX7" fmla="*/ 1371600 w 2137317"/>
              <a:gd name="connsiteY7" fmla="*/ 1 h 571501"/>
              <a:gd name="connsiteX8" fmla="*/ 2136699 w 2137317"/>
              <a:gd name="connsiteY8" fmla="*/ 2998 h 571501"/>
              <a:gd name="connsiteX9" fmla="*/ 2137317 w 2137317"/>
              <a:gd name="connsiteY9" fmla="*/ 391185 h 57150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137317" h="571501">
                <a:moveTo>
                  <a:pt x="2057400" y="285751"/>
                </a:moveTo>
                <a:lnTo>
                  <a:pt x="2057400" y="571501"/>
                </a:lnTo>
                <a:lnTo>
                  <a:pt x="1371600" y="571501"/>
                </a:lnTo>
                <a:lnTo>
                  <a:pt x="685800" y="1"/>
                </a:lnTo>
                <a:lnTo>
                  <a:pt x="0" y="1"/>
                </a:lnTo>
                <a:lnTo>
                  <a:pt x="0" y="571501"/>
                </a:lnTo>
                <a:lnTo>
                  <a:pt x="685800" y="571501"/>
                </a:lnTo>
                <a:lnTo>
                  <a:pt x="1371600" y="1"/>
                </a:lnTo>
                <a:lnTo>
                  <a:pt x="2136699" y="2998"/>
                </a:lnTo>
                <a:lnTo>
                  <a:pt x="2137317" y="391185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100-0000FA000000}"/>
              </a:ext>
            </a:extLst>
          </xdr:cNvPr>
          <xdr:cNvSpPr/>
        </xdr:nvSpPr>
        <xdr:spPr>
          <a:xfrm>
            <a:off x="1245577" y="10543442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51" name="Rectangle 250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SpPr/>
        </xdr:nvSpPr>
        <xdr:spPr>
          <a:xfrm>
            <a:off x="2006112" y="10549303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52" name="Rectangle 251">
            <a:extLst>
              <a:ext uri="{FF2B5EF4-FFF2-40B4-BE49-F238E27FC236}">
                <a16:creationId xmlns:a16="http://schemas.microsoft.com/office/drawing/2014/main" id="{00000000-0008-0000-0100-0000FC000000}"/>
              </a:ext>
            </a:extLst>
          </xdr:cNvPr>
          <xdr:cNvSpPr/>
        </xdr:nvSpPr>
        <xdr:spPr>
          <a:xfrm rot="16200000">
            <a:off x="2341685" y="10731011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100-0000FD000000}"/>
              </a:ext>
            </a:extLst>
          </xdr:cNvPr>
          <xdr:cNvSpPr/>
        </xdr:nvSpPr>
        <xdr:spPr>
          <a:xfrm rot="5400000">
            <a:off x="942242" y="10760319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578829</xdr:colOff>
      <xdr:row>4</xdr:row>
      <xdr:rowOff>36634</xdr:rowOff>
    </xdr:from>
    <xdr:to>
      <xdr:col>1</xdr:col>
      <xdr:colOff>1788176</xdr:colOff>
      <xdr:row>4</xdr:row>
      <xdr:rowOff>674077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230762" y="1552167"/>
          <a:ext cx="1209347" cy="637443"/>
          <a:chOff x="1150329" y="190500"/>
          <a:chExt cx="1209347" cy="637443"/>
        </a:xfrm>
      </xdr:grpSpPr>
      <xdr:sp macro="" textlink="">
        <xdr:nvSpPr>
          <xdr:cNvPr id="3" name="Rounded Rectangle 45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1343676" y="356657"/>
            <a:ext cx="1016000" cy="455083"/>
          </a:xfrm>
          <a:custGeom>
            <a:avLst/>
            <a:gdLst>
              <a:gd name="connsiteX0" fmla="*/ 0 w 1360714"/>
              <a:gd name="connsiteY0" fmla="*/ 54430 h 571500"/>
              <a:gd name="connsiteX1" fmla="*/ 54430 w 1360714"/>
              <a:gd name="connsiteY1" fmla="*/ 0 h 571500"/>
              <a:gd name="connsiteX2" fmla="*/ 1306284 w 1360714"/>
              <a:gd name="connsiteY2" fmla="*/ 0 h 571500"/>
              <a:gd name="connsiteX3" fmla="*/ 1360714 w 1360714"/>
              <a:gd name="connsiteY3" fmla="*/ 54430 h 571500"/>
              <a:gd name="connsiteX4" fmla="*/ 1360714 w 1360714"/>
              <a:gd name="connsiteY4" fmla="*/ 517070 h 571500"/>
              <a:gd name="connsiteX5" fmla="*/ 1306284 w 1360714"/>
              <a:gd name="connsiteY5" fmla="*/ 571500 h 571500"/>
              <a:gd name="connsiteX6" fmla="*/ 54430 w 1360714"/>
              <a:gd name="connsiteY6" fmla="*/ 571500 h 571500"/>
              <a:gd name="connsiteX7" fmla="*/ 0 w 1360714"/>
              <a:gd name="connsiteY7" fmla="*/ 517070 h 571500"/>
              <a:gd name="connsiteX8" fmla="*/ 0 w 1360714"/>
              <a:gd name="connsiteY8" fmla="*/ 54430 h 571500"/>
              <a:gd name="connsiteX0" fmla="*/ 1306284 w 1397724"/>
              <a:gd name="connsiteY0" fmla="*/ 0 h 571500"/>
              <a:gd name="connsiteX1" fmla="*/ 1360714 w 1397724"/>
              <a:gd name="connsiteY1" fmla="*/ 54430 h 571500"/>
              <a:gd name="connsiteX2" fmla="*/ 1360714 w 1397724"/>
              <a:gd name="connsiteY2" fmla="*/ 517070 h 571500"/>
              <a:gd name="connsiteX3" fmla="*/ 1306284 w 1397724"/>
              <a:gd name="connsiteY3" fmla="*/ 571500 h 571500"/>
              <a:gd name="connsiteX4" fmla="*/ 54430 w 1397724"/>
              <a:gd name="connsiteY4" fmla="*/ 571500 h 571500"/>
              <a:gd name="connsiteX5" fmla="*/ 0 w 1397724"/>
              <a:gd name="connsiteY5" fmla="*/ 517070 h 571500"/>
              <a:gd name="connsiteX6" fmla="*/ 0 w 1397724"/>
              <a:gd name="connsiteY6" fmla="*/ 54430 h 571500"/>
              <a:gd name="connsiteX7" fmla="*/ 54430 w 1397724"/>
              <a:gd name="connsiteY7" fmla="*/ 0 h 571500"/>
              <a:gd name="connsiteX8" fmla="*/ 1397724 w 1397724"/>
              <a:gd name="connsiteY8" fmla="*/ 91440 h 571500"/>
              <a:gd name="connsiteX0" fmla="*/ 1306284 w 1360714"/>
              <a:gd name="connsiteY0" fmla="*/ 0 h 571500"/>
              <a:gd name="connsiteX1" fmla="*/ 1360714 w 1360714"/>
              <a:gd name="connsiteY1" fmla="*/ 54430 h 571500"/>
              <a:gd name="connsiteX2" fmla="*/ 1360714 w 1360714"/>
              <a:gd name="connsiteY2" fmla="*/ 517070 h 571500"/>
              <a:gd name="connsiteX3" fmla="*/ 1306284 w 1360714"/>
              <a:gd name="connsiteY3" fmla="*/ 571500 h 571500"/>
              <a:gd name="connsiteX4" fmla="*/ 54430 w 1360714"/>
              <a:gd name="connsiteY4" fmla="*/ 571500 h 571500"/>
              <a:gd name="connsiteX5" fmla="*/ 0 w 1360714"/>
              <a:gd name="connsiteY5" fmla="*/ 517070 h 571500"/>
              <a:gd name="connsiteX6" fmla="*/ 0 w 1360714"/>
              <a:gd name="connsiteY6" fmla="*/ 54430 h 571500"/>
              <a:gd name="connsiteX7" fmla="*/ 54430 w 1360714"/>
              <a:gd name="connsiteY7" fmla="*/ 0 h 571500"/>
              <a:gd name="connsiteX8" fmla="*/ 340178 w 1360714"/>
              <a:gd name="connsiteY8" fmla="*/ 0 h 571500"/>
              <a:gd name="connsiteX0" fmla="*/ 1306284 w 1360714"/>
              <a:gd name="connsiteY0" fmla="*/ 0 h 571500"/>
              <a:gd name="connsiteX1" fmla="*/ 1360714 w 1360714"/>
              <a:gd name="connsiteY1" fmla="*/ 285750 h 571500"/>
              <a:gd name="connsiteX2" fmla="*/ 1360714 w 1360714"/>
              <a:gd name="connsiteY2" fmla="*/ 517070 h 571500"/>
              <a:gd name="connsiteX3" fmla="*/ 1306284 w 1360714"/>
              <a:gd name="connsiteY3" fmla="*/ 571500 h 571500"/>
              <a:gd name="connsiteX4" fmla="*/ 54430 w 1360714"/>
              <a:gd name="connsiteY4" fmla="*/ 571500 h 571500"/>
              <a:gd name="connsiteX5" fmla="*/ 0 w 1360714"/>
              <a:gd name="connsiteY5" fmla="*/ 517070 h 571500"/>
              <a:gd name="connsiteX6" fmla="*/ 0 w 1360714"/>
              <a:gd name="connsiteY6" fmla="*/ 54430 h 571500"/>
              <a:gd name="connsiteX7" fmla="*/ 54430 w 1360714"/>
              <a:gd name="connsiteY7" fmla="*/ 0 h 571500"/>
              <a:gd name="connsiteX8" fmla="*/ 340178 w 1360714"/>
              <a:gd name="connsiteY8" fmla="*/ 0 h 571500"/>
              <a:gd name="connsiteX0" fmla="*/ 1360714 w 1360714"/>
              <a:gd name="connsiteY0" fmla="*/ 285750 h 571500"/>
              <a:gd name="connsiteX1" fmla="*/ 1360714 w 1360714"/>
              <a:gd name="connsiteY1" fmla="*/ 285750 h 571500"/>
              <a:gd name="connsiteX2" fmla="*/ 1360714 w 1360714"/>
              <a:gd name="connsiteY2" fmla="*/ 517070 h 571500"/>
              <a:gd name="connsiteX3" fmla="*/ 1306284 w 1360714"/>
              <a:gd name="connsiteY3" fmla="*/ 571500 h 571500"/>
              <a:gd name="connsiteX4" fmla="*/ 54430 w 1360714"/>
              <a:gd name="connsiteY4" fmla="*/ 571500 h 571500"/>
              <a:gd name="connsiteX5" fmla="*/ 0 w 1360714"/>
              <a:gd name="connsiteY5" fmla="*/ 517070 h 571500"/>
              <a:gd name="connsiteX6" fmla="*/ 0 w 1360714"/>
              <a:gd name="connsiteY6" fmla="*/ 54430 h 571500"/>
              <a:gd name="connsiteX7" fmla="*/ 54430 w 1360714"/>
              <a:gd name="connsiteY7" fmla="*/ 0 h 571500"/>
              <a:gd name="connsiteX8" fmla="*/ 340178 w 1360714"/>
              <a:gd name="connsiteY8" fmla="*/ 0 h 571500"/>
              <a:gd name="connsiteX0" fmla="*/ 1360714 w 1360714"/>
              <a:gd name="connsiteY0" fmla="*/ 285750 h 571500"/>
              <a:gd name="connsiteX1" fmla="*/ 1360714 w 1360714"/>
              <a:gd name="connsiteY1" fmla="*/ 517070 h 571500"/>
              <a:gd name="connsiteX2" fmla="*/ 1306284 w 1360714"/>
              <a:gd name="connsiteY2" fmla="*/ 571500 h 571500"/>
              <a:gd name="connsiteX3" fmla="*/ 54430 w 1360714"/>
              <a:gd name="connsiteY3" fmla="*/ 571500 h 571500"/>
              <a:gd name="connsiteX4" fmla="*/ 0 w 1360714"/>
              <a:gd name="connsiteY4" fmla="*/ 517070 h 571500"/>
              <a:gd name="connsiteX5" fmla="*/ 0 w 1360714"/>
              <a:gd name="connsiteY5" fmla="*/ 54430 h 571500"/>
              <a:gd name="connsiteX6" fmla="*/ 54430 w 1360714"/>
              <a:gd name="connsiteY6" fmla="*/ 0 h 571500"/>
              <a:gd name="connsiteX7" fmla="*/ 340178 w 1360714"/>
              <a:gd name="connsiteY7" fmla="*/ 0 h 571500"/>
              <a:gd name="connsiteX0" fmla="*/ 1360714 w 1360714"/>
              <a:gd name="connsiteY0" fmla="*/ 517070 h 571500"/>
              <a:gd name="connsiteX1" fmla="*/ 1306284 w 1360714"/>
              <a:gd name="connsiteY1" fmla="*/ 571500 h 571500"/>
              <a:gd name="connsiteX2" fmla="*/ 54430 w 1360714"/>
              <a:gd name="connsiteY2" fmla="*/ 571500 h 571500"/>
              <a:gd name="connsiteX3" fmla="*/ 0 w 1360714"/>
              <a:gd name="connsiteY3" fmla="*/ 517070 h 571500"/>
              <a:gd name="connsiteX4" fmla="*/ 0 w 1360714"/>
              <a:gd name="connsiteY4" fmla="*/ 54430 h 571500"/>
              <a:gd name="connsiteX5" fmla="*/ 54430 w 1360714"/>
              <a:gd name="connsiteY5" fmla="*/ 0 h 571500"/>
              <a:gd name="connsiteX6" fmla="*/ 340178 w 1360714"/>
              <a:gd name="connsiteY6" fmla="*/ 0 h 571500"/>
              <a:gd name="connsiteX0" fmla="*/ 1306284 w 1306284"/>
              <a:gd name="connsiteY0" fmla="*/ 571500 h 571500"/>
              <a:gd name="connsiteX1" fmla="*/ 54430 w 1306284"/>
              <a:gd name="connsiteY1" fmla="*/ 571500 h 571500"/>
              <a:gd name="connsiteX2" fmla="*/ 0 w 1306284"/>
              <a:gd name="connsiteY2" fmla="*/ 517070 h 571500"/>
              <a:gd name="connsiteX3" fmla="*/ 0 w 1306284"/>
              <a:gd name="connsiteY3" fmla="*/ 54430 h 571500"/>
              <a:gd name="connsiteX4" fmla="*/ 54430 w 1306284"/>
              <a:gd name="connsiteY4" fmla="*/ 0 h 571500"/>
              <a:gd name="connsiteX5" fmla="*/ 340178 w 1306284"/>
              <a:gd name="connsiteY5" fmla="*/ 0 h 571500"/>
              <a:gd name="connsiteX0" fmla="*/ 1020535 w 1020535"/>
              <a:gd name="connsiteY0" fmla="*/ 571500 h 571500"/>
              <a:gd name="connsiteX1" fmla="*/ 54430 w 1020535"/>
              <a:gd name="connsiteY1" fmla="*/ 571500 h 571500"/>
              <a:gd name="connsiteX2" fmla="*/ 0 w 1020535"/>
              <a:gd name="connsiteY2" fmla="*/ 517070 h 571500"/>
              <a:gd name="connsiteX3" fmla="*/ 0 w 1020535"/>
              <a:gd name="connsiteY3" fmla="*/ 54430 h 571500"/>
              <a:gd name="connsiteX4" fmla="*/ 54430 w 1020535"/>
              <a:gd name="connsiteY4" fmla="*/ 0 h 571500"/>
              <a:gd name="connsiteX5" fmla="*/ 340178 w 1020535"/>
              <a:gd name="connsiteY5" fmla="*/ 0 h 571500"/>
              <a:gd name="connsiteX0" fmla="*/ 1020535 w 1020535"/>
              <a:gd name="connsiteY0" fmla="*/ 571500 h 571500"/>
              <a:gd name="connsiteX1" fmla="*/ 979714 w 1020535"/>
              <a:gd name="connsiteY1" fmla="*/ 571500 h 571500"/>
              <a:gd name="connsiteX2" fmla="*/ 54430 w 1020535"/>
              <a:gd name="connsiteY2" fmla="*/ 571500 h 571500"/>
              <a:gd name="connsiteX3" fmla="*/ 0 w 1020535"/>
              <a:gd name="connsiteY3" fmla="*/ 517070 h 571500"/>
              <a:gd name="connsiteX4" fmla="*/ 0 w 1020535"/>
              <a:gd name="connsiteY4" fmla="*/ 54430 h 571500"/>
              <a:gd name="connsiteX5" fmla="*/ 54430 w 1020535"/>
              <a:gd name="connsiteY5" fmla="*/ 0 h 571500"/>
              <a:gd name="connsiteX6" fmla="*/ 340178 w 1020535"/>
              <a:gd name="connsiteY6" fmla="*/ 0 h 571500"/>
              <a:gd name="connsiteX0" fmla="*/ 1360714 w 1360714"/>
              <a:gd name="connsiteY0" fmla="*/ 285750 h 571500"/>
              <a:gd name="connsiteX1" fmla="*/ 979714 w 1360714"/>
              <a:gd name="connsiteY1" fmla="*/ 571500 h 571500"/>
              <a:gd name="connsiteX2" fmla="*/ 54430 w 1360714"/>
              <a:gd name="connsiteY2" fmla="*/ 571500 h 571500"/>
              <a:gd name="connsiteX3" fmla="*/ 0 w 1360714"/>
              <a:gd name="connsiteY3" fmla="*/ 517070 h 571500"/>
              <a:gd name="connsiteX4" fmla="*/ 0 w 1360714"/>
              <a:gd name="connsiteY4" fmla="*/ 54430 h 571500"/>
              <a:gd name="connsiteX5" fmla="*/ 54430 w 1360714"/>
              <a:gd name="connsiteY5" fmla="*/ 0 h 571500"/>
              <a:gd name="connsiteX6" fmla="*/ 340178 w 1360714"/>
              <a:gd name="connsiteY6" fmla="*/ 0 h 571500"/>
              <a:gd name="connsiteX0" fmla="*/ 1360714 w 1360714"/>
              <a:gd name="connsiteY0" fmla="*/ 285750 h 571500"/>
              <a:gd name="connsiteX1" fmla="*/ 1020535 w 1360714"/>
              <a:gd name="connsiteY1" fmla="*/ 571500 h 571500"/>
              <a:gd name="connsiteX2" fmla="*/ 54430 w 1360714"/>
              <a:gd name="connsiteY2" fmla="*/ 571500 h 571500"/>
              <a:gd name="connsiteX3" fmla="*/ 0 w 1360714"/>
              <a:gd name="connsiteY3" fmla="*/ 517070 h 571500"/>
              <a:gd name="connsiteX4" fmla="*/ 0 w 1360714"/>
              <a:gd name="connsiteY4" fmla="*/ 54430 h 571500"/>
              <a:gd name="connsiteX5" fmla="*/ 54430 w 1360714"/>
              <a:gd name="connsiteY5" fmla="*/ 0 h 571500"/>
              <a:gd name="connsiteX6" fmla="*/ 340178 w 1360714"/>
              <a:gd name="connsiteY6" fmla="*/ 0 h 5715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1360714" h="571500">
                <a:moveTo>
                  <a:pt x="1360714" y="285750"/>
                </a:moveTo>
                <a:lnTo>
                  <a:pt x="1020535" y="571500"/>
                </a:lnTo>
                <a:lnTo>
                  <a:pt x="54430" y="571500"/>
                </a:lnTo>
                <a:cubicBezTo>
                  <a:pt x="24369" y="571500"/>
                  <a:pt x="0" y="547131"/>
                  <a:pt x="0" y="517070"/>
                </a:cubicBezTo>
                <a:lnTo>
                  <a:pt x="0" y="54430"/>
                </a:lnTo>
                <a:cubicBezTo>
                  <a:pt x="0" y="24369"/>
                  <a:pt x="24369" y="0"/>
                  <a:pt x="54430" y="0"/>
                </a:cubicBezTo>
                <a:lnTo>
                  <a:pt x="340178" y="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1333501" y="190500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20</a:t>
            </a: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16200000">
            <a:off x="1106368" y="505558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30</a:t>
            </a: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1589943" y="630116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100</a:t>
            </a:r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 rot="19051750">
            <a:off x="2058867" y="534866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30</a:t>
            </a:r>
          </a:p>
        </xdr:txBody>
      </xdr:sp>
    </xdr:grpSp>
    <xdr:clientData/>
  </xdr:twoCellAnchor>
  <xdr:twoCellAnchor>
    <xdr:from>
      <xdr:col>1</xdr:col>
      <xdr:colOff>410307</xdr:colOff>
      <xdr:row>3</xdr:row>
      <xdr:rowOff>190500</xdr:rowOff>
    </xdr:from>
    <xdr:to>
      <xdr:col>1</xdr:col>
      <xdr:colOff>2083987</xdr:colOff>
      <xdr:row>3</xdr:row>
      <xdr:rowOff>675540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1062240" y="935567"/>
          <a:ext cx="1673680" cy="485040"/>
          <a:chOff x="920051" y="34977266"/>
          <a:chExt cx="1673680" cy="485040"/>
        </a:xfrm>
      </xdr:grpSpPr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GrpSpPr/>
        </xdr:nvGrpSpPr>
        <xdr:grpSpPr>
          <a:xfrm>
            <a:off x="920051" y="35169231"/>
            <a:ext cx="1673680" cy="65942"/>
            <a:chOff x="2313215" y="1143000"/>
            <a:chExt cx="3401785" cy="285750"/>
          </a:xfrm>
        </xdr:grpSpPr>
        <xdr:sp macro="" textlink="">
          <xdr:nvSpPr>
            <xdr:cNvPr id="13" name="Freeform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2313215" y="1143000"/>
              <a:ext cx="2381250" cy="285750"/>
            </a:xfrm>
            <a:custGeom>
              <a:avLst/>
              <a:gdLst>
                <a:gd name="connsiteX0" fmla="*/ 0 w 2394857"/>
                <a:gd name="connsiteY0" fmla="*/ 292554 h 299358"/>
                <a:gd name="connsiteX1" fmla="*/ 1381125 w 2394857"/>
                <a:gd name="connsiteY1" fmla="*/ 299358 h 299358"/>
                <a:gd name="connsiteX2" fmla="*/ 1721303 w 2394857"/>
                <a:gd name="connsiteY2" fmla="*/ 0 h 299358"/>
                <a:gd name="connsiteX3" fmla="*/ 2394857 w 2394857"/>
                <a:gd name="connsiteY3" fmla="*/ 13608 h 299358"/>
                <a:gd name="connsiteX0" fmla="*/ 0 w 2388053"/>
                <a:gd name="connsiteY0" fmla="*/ 292554 h 299358"/>
                <a:gd name="connsiteX1" fmla="*/ 1381125 w 2388053"/>
                <a:gd name="connsiteY1" fmla="*/ 299358 h 299358"/>
                <a:gd name="connsiteX2" fmla="*/ 1721303 w 2388053"/>
                <a:gd name="connsiteY2" fmla="*/ 0 h 299358"/>
                <a:gd name="connsiteX3" fmla="*/ 2388053 w 2388053"/>
                <a:gd name="connsiteY3" fmla="*/ 6804 h 299358"/>
                <a:gd name="connsiteX0" fmla="*/ 0 w 2388053"/>
                <a:gd name="connsiteY0" fmla="*/ 285750 h 292554"/>
                <a:gd name="connsiteX1" fmla="*/ 1381125 w 2388053"/>
                <a:gd name="connsiteY1" fmla="*/ 292554 h 292554"/>
                <a:gd name="connsiteX2" fmla="*/ 1707696 w 2388053"/>
                <a:gd name="connsiteY2" fmla="*/ 0 h 292554"/>
                <a:gd name="connsiteX3" fmla="*/ 2388053 w 2388053"/>
                <a:gd name="connsiteY3" fmla="*/ 0 h 292554"/>
                <a:gd name="connsiteX0" fmla="*/ 0 w 2388053"/>
                <a:gd name="connsiteY0" fmla="*/ 285750 h 285750"/>
                <a:gd name="connsiteX1" fmla="*/ 1367518 w 2388053"/>
                <a:gd name="connsiteY1" fmla="*/ 285750 h 285750"/>
                <a:gd name="connsiteX2" fmla="*/ 1707696 w 2388053"/>
                <a:gd name="connsiteY2" fmla="*/ 0 h 285750"/>
                <a:gd name="connsiteX3" fmla="*/ 2388053 w 2388053"/>
                <a:gd name="connsiteY3" fmla="*/ 0 h 285750"/>
                <a:gd name="connsiteX0" fmla="*/ 0 w 2381250"/>
                <a:gd name="connsiteY0" fmla="*/ 285750 h 285750"/>
                <a:gd name="connsiteX1" fmla="*/ 1360715 w 2381250"/>
                <a:gd name="connsiteY1" fmla="*/ 285750 h 285750"/>
                <a:gd name="connsiteX2" fmla="*/ 1700893 w 2381250"/>
                <a:gd name="connsiteY2" fmla="*/ 0 h 285750"/>
                <a:gd name="connsiteX3" fmla="*/ 2381250 w 2381250"/>
                <a:gd name="connsiteY3" fmla="*/ 0 h 2857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381250" h="285750">
                  <a:moveTo>
                    <a:pt x="0" y="285750"/>
                  </a:moveTo>
                  <a:lnTo>
                    <a:pt x="1360715" y="285750"/>
                  </a:lnTo>
                  <a:lnTo>
                    <a:pt x="1700893" y="0"/>
                  </a:lnTo>
                  <a:lnTo>
                    <a:pt x="2381250" y="0"/>
                  </a:lnTo>
                </a:path>
              </a:pathLst>
            </a:custGeom>
            <a:noFill/>
            <a:ln w="19050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4" name="Straight Connector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CxnSpPr/>
          </xdr:nvCxnSpPr>
          <xdr:spPr>
            <a:xfrm>
              <a:off x="4014107" y="1428750"/>
              <a:ext cx="1700893" cy="0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1084385" y="35249827"/>
            <a:ext cx="32238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70</a:t>
            </a: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2066192" y="35257154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70</a:t>
            </a: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756996" y="34977266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30</a:t>
            </a:r>
            <a:endParaRPr lang="fa-IR" sz="10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1</xdr:col>
      <xdr:colOff>410307</xdr:colOff>
      <xdr:row>5</xdr:row>
      <xdr:rowOff>190500</xdr:rowOff>
    </xdr:from>
    <xdr:to>
      <xdr:col>1</xdr:col>
      <xdr:colOff>2083987</xdr:colOff>
      <xdr:row>5</xdr:row>
      <xdr:rowOff>675540</xdr:rowOff>
    </xdr:to>
    <xdr:grpSp>
      <xdr:nvGrpSpPr>
        <xdr:cNvPr id="133" name="Group 132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GrpSpPr/>
      </xdr:nvGrpSpPr>
      <xdr:grpSpPr>
        <a:xfrm>
          <a:off x="1062240" y="2476500"/>
          <a:ext cx="1673680" cy="485040"/>
          <a:chOff x="920051" y="34977266"/>
          <a:chExt cx="1673680" cy="485040"/>
        </a:xfrm>
      </xdr:grpSpPr>
      <xdr:grpSp>
        <xdr:nvGrpSpPr>
          <xdr:cNvPr id="134" name="Group 133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GrpSpPr/>
        </xdr:nvGrpSpPr>
        <xdr:grpSpPr>
          <a:xfrm>
            <a:off x="920051" y="35169231"/>
            <a:ext cx="1673680" cy="65942"/>
            <a:chOff x="2313215" y="1143000"/>
            <a:chExt cx="3401785" cy="285750"/>
          </a:xfrm>
        </xdr:grpSpPr>
        <xdr:sp macro="" textlink="">
          <xdr:nvSpPr>
            <xdr:cNvPr id="138" name="Freeform 137">
              <a:extLst>
                <a:ext uri="{FF2B5EF4-FFF2-40B4-BE49-F238E27FC236}">
                  <a16:creationId xmlns:a16="http://schemas.microsoft.com/office/drawing/2014/main" id="{00000000-0008-0000-0000-00008A000000}"/>
                </a:ext>
              </a:extLst>
            </xdr:cNvPr>
            <xdr:cNvSpPr/>
          </xdr:nvSpPr>
          <xdr:spPr>
            <a:xfrm>
              <a:off x="2313215" y="1143000"/>
              <a:ext cx="2381250" cy="285750"/>
            </a:xfrm>
            <a:custGeom>
              <a:avLst/>
              <a:gdLst>
                <a:gd name="connsiteX0" fmla="*/ 0 w 2394857"/>
                <a:gd name="connsiteY0" fmla="*/ 292554 h 299358"/>
                <a:gd name="connsiteX1" fmla="*/ 1381125 w 2394857"/>
                <a:gd name="connsiteY1" fmla="*/ 299358 h 299358"/>
                <a:gd name="connsiteX2" fmla="*/ 1721303 w 2394857"/>
                <a:gd name="connsiteY2" fmla="*/ 0 h 299358"/>
                <a:gd name="connsiteX3" fmla="*/ 2394857 w 2394857"/>
                <a:gd name="connsiteY3" fmla="*/ 13608 h 299358"/>
                <a:gd name="connsiteX0" fmla="*/ 0 w 2388053"/>
                <a:gd name="connsiteY0" fmla="*/ 292554 h 299358"/>
                <a:gd name="connsiteX1" fmla="*/ 1381125 w 2388053"/>
                <a:gd name="connsiteY1" fmla="*/ 299358 h 299358"/>
                <a:gd name="connsiteX2" fmla="*/ 1721303 w 2388053"/>
                <a:gd name="connsiteY2" fmla="*/ 0 h 299358"/>
                <a:gd name="connsiteX3" fmla="*/ 2388053 w 2388053"/>
                <a:gd name="connsiteY3" fmla="*/ 6804 h 299358"/>
                <a:gd name="connsiteX0" fmla="*/ 0 w 2388053"/>
                <a:gd name="connsiteY0" fmla="*/ 285750 h 292554"/>
                <a:gd name="connsiteX1" fmla="*/ 1381125 w 2388053"/>
                <a:gd name="connsiteY1" fmla="*/ 292554 h 292554"/>
                <a:gd name="connsiteX2" fmla="*/ 1707696 w 2388053"/>
                <a:gd name="connsiteY2" fmla="*/ 0 h 292554"/>
                <a:gd name="connsiteX3" fmla="*/ 2388053 w 2388053"/>
                <a:gd name="connsiteY3" fmla="*/ 0 h 292554"/>
                <a:gd name="connsiteX0" fmla="*/ 0 w 2388053"/>
                <a:gd name="connsiteY0" fmla="*/ 285750 h 285750"/>
                <a:gd name="connsiteX1" fmla="*/ 1367518 w 2388053"/>
                <a:gd name="connsiteY1" fmla="*/ 285750 h 285750"/>
                <a:gd name="connsiteX2" fmla="*/ 1707696 w 2388053"/>
                <a:gd name="connsiteY2" fmla="*/ 0 h 285750"/>
                <a:gd name="connsiteX3" fmla="*/ 2388053 w 2388053"/>
                <a:gd name="connsiteY3" fmla="*/ 0 h 285750"/>
                <a:gd name="connsiteX0" fmla="*/ 0 w 2381250"/>
                <a:gd name="connsiteY0" fmla="*/ 285750 h 285750"/>
                <a:gd name="connsiteX1" fmla="*/ 1360715 w 2381250"/>
                <a:gd name="connsiteY1" fmla="*/ 285750 h 285750"/>
                <a:gd name="connsiteX2" fmla="*/ 1700893 w 2381250"/>
                <a:gd name="connsiteY2" fmla="*/ 0 h 285750"/>
                <a:gd name="connsiteX3" fmla="*/ 2381250 w 2381250"/>
                <a:gd name="connsiteY3" fmla="*/ 0 h 2857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381250" h="285750">
                  <a:moveTo>
                    <a:pt x="0" y="285750"/>
                  </a:moveTo>
                  <a:lnTo>
                    <a:pt x="1360715" y="285750"/>
                  </a:lnTo>
                  <a:lnTo>
                    <a:pt x="1700893" y="0"/>
                  </a:lnTo>
                  <a:lnTo>
                    <a:pt x="2381250" y="0"/>
                  </a:lnTo>
                </a:path>
              </a:pathLst>
            </a:custGeom>
            <a:noFill/>
            <a:ln w="19050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39" name="Straight Connector 138">
              <a:extLst>
                <a:ext uri="{FF2B5EF4-FFF2-40B4-BE49-F238E27FC236}">
                  <a16:creationId xmlns:a16="http://schemas.microsoft.com/office/drawing/2014/main" id="{00000000-0008-0000-0000-00008B000000}"/>
                </a:ext>
              </a:extLst>
            </xdr:cNvPr>
            <xdr:cNvCxnSpPr/>
          </xdr:nvCxnSpPr>
          <xdr:spPr>
            <a:xfrm>
              <a:off x="4014107" y="1428750"/>
              <a:ext cx="1700893" cy="0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35" name="Rectangle 134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/>
        </xdr:nvSpPr>
        <xdr:spPr>
          <a:xfrm>
            <a:off x="1084385" y="35249827"/>
            <a:ext cx="32238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100</a:t>
            </a:r>
          </a:p>
        </xdr:txBody>
      </xdr:sp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000-000088000000}"/>
              </a:ext>
            </a:extLst>
          </xdr:cNvPr>
          <xdr:cNvSpPr/>
        </xdr:nvSpPr>
        <xdr:spPr>
          <a:xfrm>
            <a:off x="2066192" y="35257154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100</a:t>
            </a:r>
          </a:p>
        </xdr:txBody>
      </xdr:sp>
      <xdr:sp macro="" textlink="">
        <xdr:nvSpPr>
          <xdr:cNvPr id="137" name="Rectangle 136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/>
        </xdr:nvSpPr>
        <xdr:spPr>
          <a:xfrm>
            <a:off x="1756996" y="34977266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30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592667</xdr:colOff>
      <xdr:row>3</xdr:row>
      <xdr:rowOff>194734</xdr:rowOff>
    </xdr:from>
    <xdr:to>
      <xdr:col>1</xdr:col>
      <xdr:colOff>2305701</xdr:colOff>
      <xdr:row>3</xdr:row>
      <xdr:rowOff>547807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758AD390-5DA1-41F2-8265-6737C9078B6E}"/>
            </a:ext>
          </a:extLst>
        </xdr:cNvPr>
        <xdr:cNvGrpSpPr/>
      </xdr:nvGrpSpPr>
      <xdr:grpSpPr>
        <a:xfrm>
          <a:off x="1244600" y="939801"/>
          <a:ext cx="1713034" cy="353073"/>
          <a:chOff x="989136" y="28161845"/>
          <a:chExt cx="1713034" cy="353073"/>
        </a:xfrm>
      </xdr:grpSpPr>
      <xdr:sp macro="" textlink="">
        <xdr:nvSpPr>
          <xdr:cNvPr id="29" name="Left Bracket 28">
            <a:extLst>
              <a:ext uri="{FF2B5EF4-FFF2-40B4-BE49-F238E27FC236}">
                <a16:creationId xmlns:a16="http://schemas.microsoft.com/office/drawing/2014/main" id="{436B3904-A83D-4DA6-85FF-CCF1B61C04BE}"/>
              </a:ext>
            </a:extLst>
          </xdr:cNvPr>
          <xdr:cNvSpPr/>
        </xdr:nvSpPr>
        <xdr:spPr>
          <a:xfrm rot="16200000">
            <a:off x="1619252" y="27563884"/>
            <a:ext cx="285750" cy="1545981"/>
          </a:xfrm>
          <a:prstGeom prst="leftBracket">
            <a:avLst>
              <a:gd name="adj" fmla="val 0"/>
            </a:avLst>
          </a:prstGeom>
          <a:ln w="1905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AAF3EA98-1933-4945-B66D-83C0D40B9C56}"/>
              </a:ext>
            </a:extLst>
          </xdr:cNvPr>
          <xdr:cNvSpPr/>
        </xdr:nvSpPr>
        <xdr:spPr>
          <a:xfrm>
            <a:off x="1560635" y="2827459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945</a:t>
            </a:r>
            <a:endParaRPr lang="en-US" sz="1000">
              <a:solidFill>
                <a:schemeClr val="tx1"/>
              </a:solidFill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7543999-BC3D-49F3-81C4-9A5C15E7A807}"/>
              </a:ext>
            </a:extLst>
          </xdr:cNvPr>
          <xdr:cNvSpPr/>
        </xdr:nvSpPr>
        <xdr:spPr>
          <a:xfrm rot="16200000">
            <a:off x="2453055" y="28265804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10</a:t>
            </a:r>
            <a:endParaRPr lang="en-US" sz="10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1</xdr:col>
      <xdr:colOff>584200</xdr:colOff>
      <xdr:row>4</xdr:row>
      <xdr:rowOff>135466</xdr:rowOff>
    </xdr:from>
    <xdr:to>
      <xdr:col>1</xdr:col>
      <xdr:colOff>2297234</xdr:colOff>
      <xdr:row>4</xdr:row>
      <xdr:rowOff>488539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776CBD4A-C935-4357-B38F-8504CAA530B9}"/>
            </a:ext>
          </a:extLst>
        </xdr:cNvPr>
        <xdr:cNvGrpSpPr/>
      </xdr:nvGrpSpPr>
      <xdr:grpSpPr>
        <a:xfrm>
          <a:off x="1236133" y="1650999"/>
          <a:ext cx="1713034" cy="353073"/>
          <a:chOff x="989136" y="28161845"/>
          <a:chExt cx="1713034" cy="353073"/>
        </a:xfrm>
      </xdr:grpSpPr>
      <xdr:sp macro="" textlink="">
        <xdr:nvSpPr>
          <xdr:cNvPr id="33" name="Left Bracket 32">
            <a:extLst>
              <a:ext uri="{FF2B5EF4-FFF2-40B4-BE49-F238E27FC236}">
                <a16:creationId xmlns:a16="http://schemas.microsoft.com/office/drawing/2014/main" id="{DD4F547D-4511-4204-87F4-E34B6E1CE2BC}"/>
              </a:ext>
            </a:extLst>
          </xdr:cNvPr>
          <xdr:cNvSpPr/>
        </xdr:nvSpPr>
        <xdr:spPr>
          <a:xfrm rot="16200000">
            <a:off x="1619252" y="27563884"/>
            <a:ext cx="285750" cy="1545981"/>
          </a:xfrm>
          <a:prstGeom prst="leftBracket">
            <a:avLst>
              <a:gd name="adj" fmla="val 0"/>
            </a:avLst>
          </a:prstGeom>
          <a:ln w="1905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30C98AF2-4F8F-433F-9231-0D8A12F6EB27}"/>
              </a:ext>
            </a:extLst>
          </xdr:cNvPr>
          <xdr:cNvSpPr/>
        </xdr:nvSpPr>
        <xdr:spPr>
          <a:xfrm>
            <a:off x="1560635" y="2827459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795</a:t>
            </a:r>
            <a:endParaRPr lang="en-US" sz="1000">
              <a:solidFill>
                <a:schemeClr val="tx1"/>
              </a:solidFill>
            </a:endParaRP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26DFADD4-8292-4D66-A5FF-4D0876975983}"/>
              </a:ext>
            </a:extLst>
          </xdr:cNvPr>
          <xdr:cNvSpPr/>
        </xdr:nvSpPr>
        <xdr:spPr>
          <a:xfrm rot="16200000">
            <a:off x="2453055" y="28265804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10</a:t>
            </a:r>
            <a:endParaRPr lang="en-US" sz="10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1</xdr:col>
      <xdr:colOff>575733</xdr:colOff>
      <xdr:row>5</xdr:row>
      <xdr:rowOff>287866</xdr:rowOff>
    </xdr:from>
    <xdr:to>
      <xdr:col>1</xdr:col>
      <xdr:colOff>2288767</xdr:colOff>
      <xdr:row>5</xdr:row>
      <xdr:rowOff>640939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B0EA2154-12FB-4934-B255-4E8483AE2059}"/>
            </a:ext>
          </a:extLst>
        </xdr:cNvPr>
        <xdr:cNvGrpSpPr/>
      </xdr:nvGrpSpPr>
      <xdr:grpSpPr>
        <a:xfrm>
          <a:off x="1227666" y="2573866"/>
          <a:ext cx="1713034" cy="353073"/>
          <a:chOff x="989136" y="28161845"/>
          <a:chExt cx="1713034" cy="353073"/>
        </a:xfrm>
      </xdr:grpSpPr>
      <xdr:sp macro="" textlink="">
        <xdr:nvSpPr>
          <xdr:cNvPr id="37" name="Left Bracket 36">
            <a:extLst>
              <a:ext uri="{FF2B5EF4-FFF2-40B4-BE49-F238E27FC236}">
                <a16:creationId xmlns:a16="http://schemas.microsoft.com/office/drawing/2014/main" id="{F1067699-3F70-480A-B089-C2B5DE2FB28C}"/>
              </a:ext>
            </a:extLst>
          </xdr:cNvPr>
          <xdr:cNvSpPr/>
        </xdr:nvSpPr>
        <xdr:spPr>
          <a:xfrm rot="16200000">
            <a:off x="1619252" y="27563884"/>
            <a:ext cx="285750" cy="1545981"/>
          </a:xfrm>
          <a:prstGeom prst="leftBracket">
            <a:avLst>
              <a:gd name="adj" fmla="val 0"/>
            </a:avLst>
          </a:prstGeom>
          <a:ln w="1905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Rectangle 37">
            <a:extLst>
              <a:ext uri="{FF2B5EF4-FFF2-40B4-BE49-F238E27FC236}">
                <a16:creationId xmlns:a16="http://schemas.microsoft.com/office/drawing/2014/main" id="{A6AEAD12-69A0-441A-A5FC-26AA0C0A67B0}"/>
              </a:ext>
            </a:extLst>
          </xdr:cNvPr>
          <xdr:cNvSpPr/>
        </xdr:nvSpPr>
        <xdr:spPr>
          <a:xfrm>
            <a:off x="1560635" y="2827459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65</a:t>
            </a:r>
            <a:endParaRPr lang="en-US" sz="1000">
              <a:solidFill>
                <a:schemeClr val="tx1"/>
              </a:solidFill>
            </a:endParaRPr>
          </a:p>
        </xdr:txBody>
      </xdr:sp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ED8F204D-303C-4FFC-B354-4DF1C8E207AB}"/>
              </a:ext>
            </a:extLst>
          </xdr:cNvPr>
          <xdr:cNvSpPr/>
        </xdr:nvSpPr>
        <xdr:spPr>
          <a:xfrm rot="16200000">
            <a:off x="2453055" y="28265804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10</a:t>
            </a:r>
            <a:endParaRPr lang="en-US" sz="10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1</xdr:col>
      <xdr:colOff>498232</xdr:colOff>
      <xdr:row>6</xdr:row>
      <xdr:rowOff>48977</xdr:rowOff>
    </xdr:from>
    <xdr:to>
      <xdr:col>1</xdr:col>
      <xdr:colOff>1707173</xdr:colOff>
      <xdr:row>6</xdr:row>
      <xdr:rowOff>770058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630451F0-7E53-4AEF-AD59-3415847DDE99}"/>
            </a:ext>
          </a:extLst>
        </xdr:cNvPr>
        <xdr:cNvGrpSpPr/>
      </xdr:nvGrpSpPr>
      <xdr:grpSpPr>
        <a:xfrm>
          <a:off x="1150165" y="3367910"/>
          <a:ext cx="1208941" cy="721081"/>
          <a:chOff x="1106367" y="19665462"/>
          <a:chExt cx="1254202" cy="748077"/>
        </a:xfrm>
      </xdr:grpSpPr>
      <xdr:sp macro="" textlink="">
        <xdr:nvSpPr>
          <xdr:cNvPr id="15" name="Freeform 65">
            <a:extLst>
              <a:ext uri="{FF2B5EF4-FFF2-40B4-BE49-F238E27FC236}">
                <a16:creationId xmlns:a16="http://schemas.microsoft.com/office/drawing/2014/main" id="{0997697A-68AF-490D-8B86-DCC269E89EF1}"/>
              </a:ext>
            </a:extLst>
          </xdr:cNvPr>
          <xdr:cNvSpPr/>
        </xdr:nvSpPr>
        <xdr:spPr>
          <a:xfrm>
            <a:off x="1106367" y="19841308"/>
            <a:ext cx="1222715" cy="572231"/>
          </a:xfrm>
          <a:custGeom>
            <a:avLst/>
            <a:gdLst>
              <a:gd name="connsiteX0" fmla="*/ 0 w 2428875"/>
              <a:gd name="connsiteY0" fmla="*/ 1133475 h 1133475"/>
              <a:gd name="connsiteX1" fmla="*/ 704850 w 2428875"/>
              <a:gd name="connsiteY1" fmla="*/ 866775 h 1133475"/>
              <a:gd name="connsiteX2" fmla="*/ 714375 w 2428875"/>
              <a:gd name="connsiteY2" fmla="*/ 9525 h 1133475"/>
              <a:gd name="connsiteX3" fmla="*/ 1724025 w 2428875"/>
              <a:gd name="connsiteY3" fmla="*/ 0 h 1133475"/>
              <a:gd name="connsiteX4" fmla="*/ 1743075 w 2428875"/>
              <a:gd name="connsiteY4" fmla="*/ 847725 h 1133475"/>
              <a:gd name="connsiteX5" fmla="*/ 2428875 w 2428875"/>
              <a:gd name="connsiteY5" fmla="*/ 295275 h 1133475"/>
              <a:gd name="connsiteX0" fmla="*/ 0 w 2390775"/>
              <a:gd name="connsiteY0" fmla="*/ 1133475 h 1133475"/>
              <a:gd name="connsiteX1" fmla="*/ 704850 w 2390775"/>
              <a:gd name="connsiteY1" fmla="*/ 866775 h 1133475"/>
              <a:gd name="connsiteX2" fmla="*/ 714375 w 2390775"/>
              <a:gd name="connsiteY2" fmla="*/ 9525 h 1133475"/>
              <a:gd name="connsiteX3" fmla="*/ 1724025 w 2390775"/>
              <a:gd name="connsiteY3" fmla="*/ 0 h 1133475"/>
              <a:gd name="connsiteX4" fmla="*/ 1743075 w 2390775"/>
              <a:gd name="connsiteY4" fmla="*/ 847725 h 1133475"/>
              <a:gd name="connsiteX5" fmla="*/ 2390775 w 2390775"/>
              <a:gd name="connsiteY5" fmla="*/ 552450 h 1133475"/>
              <a:gd name="connsiteX0" fmla="*/ 0 w 2390775"/>
              <a:gd name="connsiteY0" fmla="*/ 1133475 h 1133475"/>
              <a:gd name="connsiteX1" fmla="*/ 704850 w 2390775"/>
              <a:gd name="connsiteY1" fmla="*/ 866775 h 1133475"/>
              <a:gd name="connsiteX2" fmla="*/ 714375 w 2390775"/>
              <a:gd name="connsiteY2" fmla="*/ 9525 h 1133475"/>
              <a:gd name="connsiteX3" fmla="*/ 1724025 w 2390775"/>
              <a:gd name="connsiteY3" fmla="*/ 0 h 1133475"/>
              <a:gd name="connsiteX4" fmla="*/ 1752600 w 2390775"/>
              <a:gd name="connsiteY4" fmla="*/ 981075 h 1133475"/>
              <a:gd name="connsiteX5" fmla="*/ 2390775 w 2390775"/>
              <a:gd name="connsiteY5" fmla="*/ 552450 h 1133475"/>
              <a:gd name="connsiteX0" fmla="*/ 0 w 2390775"/>
              <a:gd name="connsiteY0" fmla="*/ 1133475 h 1133475"/>
              <a:gd name="connsiteX1" fmla="*/ 704850 w 2390775"/>
              <a:gd name="connsiteY1" fmla="*/ 866775 h 1133475"/>
              <a:gd name="connsiteX2" fmla="*/ 714375 w 2390775"/>
              <a:gd name="connsiteY2" fmla="*/ 9525 h 1133475"/>
              <a:gd name="connsiteX3" fmla="*/ 1724025 w 2390775"/>
              <a:gd name="connsiteY3" fmla="*/ 0 h 1133475"/>
              <a:gd name="connsiteX4" fmla="*/ 1724025 w 2390775"/>
              <a:gd name="connsiteY4" fmla="*/ 847725 h 1133475"/>
              <a:gd name="connsiteX5" fmla="*/ 2390775 w 2390775"/>
              <a:gd name="connsiteY5" fmla="*/ 552450 h 1133475"/>
              <a:gd name="connsiteX0" fmla="*/ 0 w 2409825"/>
              <a:gd name="connsiteY0" fmla="*/ 1133475 h 1133475"/>
              <a:gd name="connsiteX1" fmla="*/ 704850 w 2409825"/>
              <a:gd name="connsiteY1" fmla="*/ 866775 h 1133475"/>
              <a:gd name="connsiteX2" fmla="*/ 714375 w 2409825"/>
              <a:gd name="connsiteY2" fmla="*/ 9525 h 1133475"/>
              <a:gd name="connsiteX3" fmla="*/ 1724025 w 2409825"/>
              <a:gd name="connsiteY3" fmla="*/ 0 h 1133475"/>
              <a:gd name="connsiteX4" fmla="*/ 1724025 w 2409825"/>
              <a:gd name="connsiteY4" fmla="*/ 847725 h 1133475"/>
              <a:gd name="connsiteX5" fmla="*/ 2409825 w 2409825"/>
              <a:gd name="connsiteY5" fmla="*/ 561975 h 1133475"/>
              <a:gd name="connsiteX0" fmla="*/ 0 w 2400300"/>
              <a:gd name="connsiteY0" fmla="*/ 1133475 h 1133475"/>
              <a:gd name="connsiteX1" fmla="*/ 695325 w 2400300"/>
              <a:gd name="connsiteY1" fmla="*/ 866775 h 1133475"/>
              <a:gd name="connsiteX2" fmla="*/ 704850 w 2400300"/>
              <a:gd name="connsiteY2" fmla="*/ 9525 h 1133475"/>
              <a:gd name="connsiteX3" fmla="*/ 1714500 w 2400300"/>
              <a:gd name="connsiteY3" fmla="*/ 0 h 1133475"/>
              <a:gd name="connsiteX4" fmla="*/ 1714500 w 2400300"/>
              <a:gd name="connsiteY4" fmla="*/ 847725 h 1133475"/>
              <a:gd name="connsiteX5" fmla="*/ 2400300 w 2400300"/>
              <a:gd name="connsiteY5" fmla="*/ 561975 h 1133475"/>
              <a:gd name="connsiteX0" fmla="*/ 0 w 2400300"/>
              <a:gd name="connsiteY0" fmla="*/ 1133475 h 1133475"/>
              <a:gd name="connsiteX1" fmla="*/ 685799 w 2400300"/>
              <a:gd name="connsiteY1" fmla="*/ 847725 h 1133475"/>
              <a:gd name="connsiteX2" fmla="*/ 704850 w 2400300"/>
              <a:gd name="connsiteY2" fmla="*/ 9525 h 1133475"/>
              <a:gd name="connsiteX3" fmla="*/ 1714500 w 2400300"/>
              <a:gd name="connsiteY3" fmla="*/ 0 h 1133475"/>
              <a:gd name="connsiteX4" fmla="*/ 1714500 w 2400300"/>
              <a:gd name="connsiteY4" fmla="*/ 847725 h 1133475"/>
              <a:gd name="connsiteX5" fmla="*/ 2400300 w 2400300"/>
              <a:gd name="connsiteY5" fmla="*/ 561975 h 1133475"/>
              <a:gd name="connsiteX0" fmla="*/ 0 w 2400300"/>
              <a:gd name="connsiteY0" fmla="*/ 1133475 h 1133475"/>
              <a:gd name="connsiteX1" fmla="*/ 685799 w 2400300"/>
              <a:gd name="connsiteY1" fmla="*/ 847725 h 1133475"/>
              <a:gd name="connsiteX2" fmla="*/ 685799 w 2400300"/>
              <a:gd name="connsiteY2" fmla="*/ 276225 h 1133475"/>
              <a:gd name="connsiteX3" fmla="*/ 1714500 w 2400300"/>
              <a:gd name="connsiteY3" fmla="*/ 0 h 1133475"/>
              <a:gd name="connsiteX4" fmla="*/ 1714500 w 2400300"/>
              <a:gd name="connsiteY4" fmla="*/ 847725 h 1133475"/>
              <a:gd name="connsiteX5" fmla="*/ 2400300 w 2400300"/>
              <a:gd name="connsiteY5" fmla="*/ 561975 h 1133475"/>
              <a:gd name="connsiteX0" fmla="*/ 0 w 2400300"/>
              <a:gd name="connsiteY0" fmla="*/ 857250 h 857250"/>
              <a:gd name="connsiteX1" fmla="*/ 685799 w 2400300"/>
              <a:gd name="connsiteY1" fmla="*/ 571500 h 857250"/>
              <a:gd name="connsiteX2" fmla="*/ 685799 w 2400300"/>
              <a:gd name="connsiteY2" fmla="*/ 0 h 857250"/>
              <a:gd name="connsiteX3" fmla="*/ 1714499 w 2400300"/>
              <a:gd name="connsiteY3" fmla="*/ 0 h 857250"/>
              <a:gd name="connsiteX4" fmla="*/ 1714500 w 2400300"/>
              <a:gd name="connsiteY4" fmla="*/ 571500 h 857250"/>
              <a:gd name="connsiteX5" fmla="*/ 2400300 w 2400300"/>
              <a:gd name="connsiteY5" fmla="*/ 285750 h 8572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2400300" h="857250">
                <a:moveTo>
                  <a:pt x="0" y="857250"/>
                </a:moveTo>
                <a:lnTo>
                  <a:pt x="685799" y="571500"/>
                </a:lnTo>
                <a:lnTo>
                  <a:pt x="685799" y="0"/>
                </a:lnTo>
                <a:lnTo>
                  <a:pt x="1714499" y="0"/>
                </a:lnTo>
                <a:cubicBezTo>
                  <a:pt x="1714499" y="190500"/>
                  <a:pt x="1714500" y="381000"/>
                  <a:pt x="1714500" y="571500"/>
                </a:cubicBezTo>
                <a:lnTo>
                  <a:pt x="2400300" y="28575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ACD9594F-4D82-4E4E-B079-FC46C8F97B4C}"/>
              </a:ext>
            </a:extLst>
          </xdr:cNvPr>
          <xdr:cNvSpPr/>
        </xdr:nvSpPr>
        <xdr:spPr>
          <a:xfrm>
            <a:off x="1567962" y="19665462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60</a:t>
            </a:r>
            <a:endParaRPr lang="en-US" sz="1000">
              <a:solidFill>
                <a:schemeClr val="tx1"/>
              </a:solidFill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271D6312-9F05-40AA-9E59-55BE77278E64}"/>
              </a:ext>
            </a:extLst>
          </xdr:cNvPr>
          <xdr:cNvSpPr/>
        </xdr:nvSpPr>
        <xdr:spPr>
          <a:xfrm rot="16200000">
            <a:off x="1178171" y="19949747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45</a:t>
            </a:r>
            <a:endParaRPr lang="en-US" sz="1000">
              <a:solidFill>
                <a:schemeClr val="tx1"/>
              </a:solidFill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98B421D0-4C75-4234-A0C5-E45A0D229213}"/>
              </a:ext>
            </a:extLst>
          </xdr:cNvPr>
          <xdr:cNvSpPr/>
        </xdr:nvSpPr>
        <xdr:spPr>
          <a:xfrm rot="19800000">
            <a:off x="2007496" y="2013886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10</a:t>
            </a:r>
            <a:endParaRPr lang="en-US" sz="10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427240</xdr:colOff>
      <xdr:row>4</xdr:row>
      <xdr:rowOff>122767</xdr:rowOff>
    </xdr:from>
    <xdr:to>
      <xdr:col>1</xdr:col>
      <xdr:colOff>2100920</xdr:colOff>
      <xdr:row>4</xdr:row>
      <xdr:rowOff>607807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CC8DF922-0280-4B1F-B905-B566418A0ACC}"/>
            </a:ext>
          </a:extLst>
        </xdr:cNvPr>
        <xdr:cNvGrpSpPr/>
      </xdr:nvGrpSpPr>
      <xdr:grpSpPr>
        <a:xfrm>
          <a:off x="1079173" y="1638300"/>
          <a:ext cx="1673680" cy="485040"/>
          <a:chOff x="920051" y="34977266"/>
          <a:chExt cx="1673680" cy="485040"/>
        </a:xfrm>
      </xdr:grpSpPr>
      <xdr:grpSp>
        <xdr:nvGrpSpPr>
          <xdr:cNvPr id="16" name="Group 15">
            <a:extLst>
              <a:ext uri="{FF2B5EF4-FFF2-40B4-BE49-F238E27FC236}">
                <a16:creationId xmlns:a16="http://schemas.microsoft.com/office/drawing/2014/main" id="{99BBB3E4-BC48-4C45-B1E1-358508051A73}"/>
              </a:ext>
            </a:extLst>
          </xdr:cNvPr>
          <xdr:cNvGrpSpPr/>
        </xdr:nvGrpSpPr>
        <xdr:grpSpPr>
          <a:xfrm>
            <a:off x="920051" y="35169231"/>
            <a:ext cx="1673680" cy="65942"/>
            <a:chOff x="2313215" y="1143000"/>
            <a:chExt cx="3401785" cy="285750"/>
          </a:xfrm>
        </xdr:grpSpPr>
        <xdr:sp macro="" textlink="">
          <xdr:nvSpPr>
            <xdr:cNvPr id="20" name="Freeform 137">
              <a:extLst>
                <a:ext uri="{FF2B5EF4-FFF2-40B4-BE49-F238E27FC236}">
                  <a16:creationId xmlns:a16="http://schemas.microsoft.com/office/drawing/2014/main" id="{399C1609-6626-419B-A255-E0F7EDCE2284}"/>
                </a:ext>
              </a:extLst>
            </xdr:cNvPr>
            <xdr:cNvSpPr/>
          </xdr:nvSpPr>
          <xdr:spPr>
            <a:xfrm>
              <a:off x="2313215" y="1143000"/>
              <a:ext cx="2381250" cy="285750"/>
            </a:xfrm>
            <a:custGeom>
              <a:avLst/>
              <a:gdLst>
                <a:gd name="connsiteX0" fmla="*/ 0 w 2394857"/>
                <a:gd name="connsiteY0" fmla="*/ 292554 h 299358"/>
                <a:gd name="connsiteX1" fmla="*/ 1381125 w 2394857"/>
                <a:gd name="connsiteY1" fmla="*/ 299358 h 299358"/>
                <a:gd name="connsiteX2" fmla="*/ 1721303 w 2394857"/>
                <a:gd name="connsiteY2" fmla="*/ 0 h 299358"/>
                <a:gd name="connsiteX3" fmla="*/ 2394857 w 2394857"/>
                <a:gd name="connsiteY3" fmla="*/ 13608 h 299358"/>
                <a:gd name="connsiteX0" fmla="*/ 0 w 2388053"/>
                <a:gd name="connsiteY0" fmla="*/ 292554 h 299358"/>
                <a:gd name="connsiteX1" fmla="*/ 1381125 w 2388053"/>
                <a:gd name="connsiteY1" fmla="*/ 299358 h 299358"/>
                <a:gd name="connsiteX2" fmla="*/ 1721303 w 2388053"/>
                <a:gd name="connsiteY2" fmla="*/ 0 h 299358"/>
                <a:gd name="connsiteX3" fmla="*/ 2388053 w 2388053"/>
                <a:gd name="connsiteY3" fmla="*/ 6804 h 299358"/>
                <a:gd name="connsiteX0" fmla="*/ 0 w 2388053"/>
                <a:gd name="connsiteY0" fmla="*/ 285750 h 292554"/>
                <a:gd name="connsiteX1" fmla="*/ 1381125 w 2388053"/>
                <a:gd name="connsiteY1" fmla="*/ 292554 h 292554"/>
                <a:gd name="connsiteX2" fmla="*/ 1707696 w 2388053"/>
                <a:gd name="connsiteY2" fmla="*/ 0 h 292554"/>
                <a:gd name="connsiteX3" fmla="*/ 2388053 w 2388053"/>
                <a:gd name="connsiteY3" fmla="*/ 0 h 292554"/>
                <a:gd name="connsiteX0" fmla="*/ 0 w 2388053"/>
                <a:gd name="connsiteY0" fmla="*/ 285750 h 285750"/>
                <a:gd name="connsiteX1" fmla="*/ 1367518 w 2388053"/>
                <a:gd name="connsiteY1" fmla="*/ 285750 h 285750"/>
                <a:gd name="connsiteX2" fmla="*/ 1707696 w 2388053"/>
                <a:gd name="connsiteY2" fmla="*/ 0 h 285750"/>
                <a:gd name="connsiteX3" fmla="*/ 2388053 w 2388053"/>
                <a:gd name="connsiteY3" fmla="*/ 0 h 285750"/>
                <a:gd name="connsiteX0" fmla="*/ 0 w 2381250"/>
                <a:gd name="connsiteY0" fmla="*/ 285750 h 285750"/>
                <a:gd name="connsiteX1" fmla="*/ 1360715 w 2381250"/>
                <a:gd name="connsiteY1" fmla="*/ 285750 h 285750"/>
                <a:gd name="connsiteX2" fmla="*/ 1700893 w 2381250"/>
                <a:gd name="connsiteY2" fmla="*/ 0 h 285750"/>
                <a:gd name="connsiteX3" fmla="*/ 2381250 w 2381250"/>
                <a:gd name="connsiteY3" fmla="*/ 0 h 2857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381250" h="285750">
                  <a:moveTo>
                    <a:pt x="0" y="285750"/>
                  </a:moveTo>
                  <a:lnTo>
                    <a:pt x="1360715" y="285750"/>
                  </a:lnTo>
                  <a:lnTo>
                    <a:pt x="1700893" y="0"/>
                  </a:lnTo>
                  <a:lnTo>
                    <a:pt x="2381250" y="0"/>
                  </a:lnTo>
                </a:path>
              </a:pathLst>
            </a:custGeom>
            <a:noFill/>
            <a:ln w="19050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21" name="Straight Connector 20">
              <a:extLst>
                <a:ext uri="{FF2B5EF4-FFF2-40B4-BE49-F238E27FC236}">
                  <a16:creationId xmlns:a16="http://schemas.microsoft.com/office/drawing/2014/main" id="{9B0072EA-1467-425E-9D4E-BDF6BAAC2C1B}"/>
                </a:ext>
              </a:extLst>
            </xdr:cNvPr>
            <xdr:cNvCxnSpPr/>
          </xdr:nvCxnSpPr>
          <xdr:spPr>
            <a:xfrm>
              <a:off x="4014107" y="1428750"/>
              <a:ext cx="1700893" cy="0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990EF869-E5D7-41E5-8791-B6879533331B}"/>
              </a:ext>
            </a:extLst>
          </xdr:cNvPr>
          <xdr:cNvSpPr/>
        </xdr:nvSpPr>
        <xdr:spPr>
          <a:xfrm>
            <a:off x="1084385" y="35249827"/>
            <a:ext cx="32238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200</a:t>
            </a:r>
            <a:endParaRPr lang="en-US" sz="1000">
              <a:solidFill>
                <a:schemeClr val="tx1"/>
              </a:solidFill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52F09E54-D354-4173-B791-C45CAB821BF7}"/>
              </a:ext>
            </a:extLst>
          </xdr:cNvPr>
          <xdr:cNvSpPr/>
        </xdr:nvSpPr>
        <xdr:spPr>
          <a:xfrm>
            <a:off x="2066192" y="35257154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260</a:t>
            </a:r>
            <a:endParaRPr lang="en-US" sz="1000">
              <a:solidFill>
                <a:schemeClr val="tx1"/>
              </a:solidFill>
            </a:endParaRPr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87E01B55-0731-42ED-922A-91B1AA37D22B}"/>
              </a:ext>
            </a:extLst>
          </xdr:cNvPr>
          <xdr:cNvSpPr/>
        </xdr:nvSpPr>
        <xdr:spPr>
          <a:xfrm>
            <a:off x="1756996" y="34977266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70</a:t>
            </a:r>
            <a:endParaRPr lang="en-US" sz="10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1</xdr:col>
      <xdr:colOff>448733</xdr:colOff>
      <xdr:row>3</xdr:row>
      <xdr:rowOff>177800</xdr:rowOff>
    </xdr:from>
    <xdr:to>
      <xdr:col>1</xdr:col>
      <xdr:colOff>2161767</xdr:colOff>
      <xdr:row>3</xdr:row>
      <xdr:rowOff>530873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24168DE5-901B-429B-B6E4-7567FB6B8207}"/>
            </a:ext>
          </a:extLst>
        </xdr:cNvPr>
        <xdr:cNvGrpSpPr/>
      </xdr:nvGrpSpPr>
      <xdr:grpSpPr>
        <a:xfrm>
          <a:off x="1100666" y="922867"/>
          <a:ext cx="1713034" cy="353073"/>
          <a:chOff x="989136" y="28161845"/>
          <a:chExt cx="1713034" cy="353073"/>
        </a:xfrm>
      </xdr:grpSpPr>
      <xdr:sp macro="" textlink="">
        <xdr:nvSpPr>
          <xdr:cNvPr id="28" name="Left Bracket 27">
            <a:extLst>
              <a:ext uri="{FF2B5EF4-FFF2-40B4-BE49-F238E27FC236}">
                <a16:creationId xmlns:a16="http://schemas.microsoft.com/office/drawing/2014/main" id="{373D1B02-C025-4187-82F0-70FCF04008A0}"/>
              </a:ext>
            </a:extLst>
          </xdr:cNvPr>
          <xdr:cNvSpPr/>
        </xdr:nvSpPr>
        <xdr:spPr>
          <a:xfrm rot="16200000">
            <a:off x="1619252" y="27563884"/>
            <a:ext cx="285750" cy="1545981"/>
          </a:xfrm>
          <a:prstGeom prst="leftBracket">
            <a:avLst>
              <a:gd name="adj" fmla="val 0"/>
            </a:avLst>
          </a:prstGeom>
          <a:ln w="1905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FBA8807-EE57-4579-A84A-F0A45785A2D8}"/>
              </a:ext>
            </a:extLst>
          </xdr:cNvPr>
          <xdr:cNvSpPr/>
        </xdr:nvSpPr>
        <xdr:spPr>
          <a:xfrm>
            <a:off x="1560635" y="2827459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25</a:t>
            </a:r>
          </a:p>
          <a:p>
            <a:pPr algn="ctr"/>
            <a:endParaRPr lang="en-US" sz="1000">
              <a:solidFill>
                <a:schemeClr val="tx1"/>
              </a:solidFill>
            </a:endParaRPr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C640C45B-3D33-424E-A3A7-9B0CD769AF99}"/>
              </a:ext>
            </a:extLst>
          </xdr:cNvPr>
          <xdr:cNvSpPr/>
        </xdr:nvSpPr>
        <xdr:spPr>
          <a:xfrm rot="16200000">
            <a:off x="2453055" y="28265804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170</a:t>
            </a:r>
            <a:endParaRPr lang="en-US" sz="10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1</xdr:col>
      <xdr:colOff>321733</xdr:colOff>
      <xdr:row>5</xdr:row>
      <xdr:rowOff>304800</xdr:rowOff>
    </xdr:from>
    <xdr:to>
      <xdr:col>1</xdr:col>
      <xdr:colOff>1932273</xdr:colOff>
      <xdr:row>5</xdr:row>
      <xdr:rowOff>657873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39F21C28-5873-4792-8395-60BE185001F2}"/>
            </a:ext>
          </a:extLst>
        </xdr:cNvPr>
        <xdr:cNvGrpSpPr/>
      </xdr:nvGrpSpPr>
      <xdr:grpSpPr>
        <a:xfrm>
          <a:off x="973666" y="2590800"/>
          <a:ext cx="1610540" cy="353073"/>
          <a:chOff x="902594" y="25650176"/>
          <a:chExt cx="1610540" cy="353073"/>
        </a:xfrm>
      </xdr:grpSpPr>
      <xdr:sp macro="" textlink="">
        <xdr:nvSpPr>
          <xdr:cNvPr id="39" name="Freeform 86">
            <a:extLst>
              <a:ext uri="{FF2B5EF4-FFF2-40B4-BE49-F238E27FC236}">
                <a16:creationId xmlns:a16="http://schemas.microsoft.com/office/drawing/2014/main" id="{6FA7D8D3-7EE9-48AC-85A8-749D1CACF807}"/>
              </a:ext>
            </a:extLst>
          </xdr:cNvPr>
          <xdr:cNvSpPr/>
        </xdr:nvSpPr>
        <xdr:spPr>
          <a:xfrm>
            <a:off x="1078367" y="25690674"/>
            <a:ext cx="1434767" cy="312575"/>
          </a:xfrm>
          <a:custGeom>
            <a:avLst/>
            <a:gdLst>
              <a:gd name="connsiteX0" fmla="*/ 692728 w 2744932"/>
              <a:gd name="connsiteY0" fmla="*/ 0 h 1567295"/>
              <a:gd name="connsiteX1" fmla="*/ 342035 w 2744932"/>
              <a:gd name="connsiteY1" fmla="*/ 0 h 1567295"/>
              <a:gd name="connsiteX2" fmla="*/ 4330 w 2744932"/>
              <a:gd name="connsiteY2" fmla="*/ 281420 h 1567295"/>
              <a:gd name="connsiteX3" fmla="*/ 0 w 2744932"/>
              <a:gd name="connsiteY3" fmla="*/ 567170 h 1567295"/>
              <a:gd name="connsiteX4" fmla="*/ 342035 w 2744932"/>
              <a:gd name="connsiteY4" fmla="*/ 861579 h 1567295"/>
              <a:gd name="connsiteX5" fmla="*/ 2398569 w 2744932"/>
              <a:gd name="connsiteY5" fmla="*/ 857250 h 1567295"/>
              <a:gd name="connsiteX6" fmla="*/ 2744932 w 2744932"/>
              <a:gd name="connsiteY6" fmla="*/ 1151659 h 1567295"/>
              <a:gd name="connsiteX7" fmla="*/ 2744932 w 2744932"/>
              <a:gd name="connsiteY7" fmla="*/ 1420090 h 1567295"/>
              <a:gd name="connsiteX8" fmla="*/ 2489489 w 2744932"/>
              <a:gd name="connsiteY8" fmla="*/ 1567295 h 1567295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15 h 1420105"/>
              <a:gd name="connsiteX1" fmla="*/ 342347 w 2745244"/>
              <a:gd name="connsiteY1" fmla="*/ 15 h 1420105"/>
              <a:gd name="connsiteX2" fmla="*/ 4642 w 2745244"/>
              <a:gd name="connsiteY2" fmla="*/ 281435 h 1420105"/>
              <a:gd name="connsiteX3" fmla="*/ 312 w 2745244"/>
              <a:gd name="connsiteY3" fmla="*/ 567185 h 1420105"/>
              <a:gd name="connsiteX4" fmla="*/ 342347 w 2745244"/>
              <a:gd name="connsiteY4" fmla="*/ 861594 h 1420105"/>
              <a:gd name="connsiteX5" fmla="*/ 2398881 w 2745244"/>
              <a:gd name="connsiteY5" fmla="*/ 857265 h 1420105"/>
              <a:gd name="connsiteX6" fmla="*/ 2745244 w 2745244"/>
              <a:gd name="connsiteY6" fmla="*/ 1151674 h 1420105"/>
              <a:gd name="connsiteX7" fmla="*/ 2745244 w 2745244"/>
              <a:gd name="connsiteY7" fmla="*/ 1420105 h 1420105"/>
              <a:gd name="connsiteX0" fmla="*/ 693040 w 2745244"/>
              <a:gd name="connsiteY0" fmla="*/ 18 h 1420108"/>
              <a:gd name="connsiteX1" fmla="*/ 342347 w 2745244"/>
              <a:gd name="connsiteY1" fmla="*/ 18 h 1420108"/>
              <a:gd name="connsiteX2" fmla="*/ 4642 w 2745244"/>
              <a:gd name="connsiteY2" fmla="*/ 281438 h 1420108"/>
              <a:gd name="connsiteX3" fmla="*/ 312 w 2745244"/>
              <a:gd name="connsiteY3" fmla="*/ 567188 h 1420108"/>
              <a:gd name="connsiteX4" fmla="*/ 342347 w 2745244"/>
              <a:gd name="connsiteY4" fmla="*/ 861597 h 1420108"/>
              <a:gd name="connsiteX5" fmla="*/ 2398881 w 2745244"/>
              <a:gd name="connsiteY5" fmla="*/ 857268 h 1420108"/>
              <a:gd name="connsiteX6" fmla="*/ 2745244 w 2745244"/>
              <a:gd name="connsiteY6" fmla="*/ 1151677 h 1420108"/>
              <a:gd name="connsiteX7" fmla="*/ 2745244 w 2745244"/>
              <a:gd name="connsiteY7" fmla="*/ 1420108 h 1420108"/>
              <a:gd name="connsiteX0" fmla="*/ 693040 w 2745244"/>
              <a:gd name="connsiteY0" fmla="*/ 12474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39938 w 2745014"/>
              <a:gd name="connsiteY0" fmla="*/ 12473 h 1432564"/>
              <a:gd name="connsiteX1" fmla="*/ 230938 w 2745014"/>
              <a:gd name="connsiteY1" fmla="*/ 15 h 1432564"/>
              <a:gd name="connsiteX2" fmla="*/ 4412 w 2745014"/>
              <a:gd name="connsiteY2" fmla="*/ 293894 h 1432564"/>
              <a:gd name="connsiteX3" fmla="*/ 82 w 2745014"/>
              <a:gd name="connsiteY3" fmla="*/ 579644 h 1432564"/>
              <a:gd name="connsiteX4" fmla="*/ 342117 w 2745014"/>
              <a:gd name="connsiteY4" fmla="*/ 874053 h 1432564"/>
              <a:gd name="connsiteX5" fmla="*/ 2398651 w 2745014"/>
              <a:gd name="connsiteY5" fmla="*/ 869724 h 1432564"/>
              <a:gd name="connsiteX6" fmla="*/ 2745014 w 2745014"/>
              <a:gd name="connsiteY6" fmla="*/ 1164133 h 1432564"/>
              <a:gd name="connsiteX7" fmla="*/ 2745014 w 2745014"/>
              <a:gd name="connsiteY7" fmla="*/ 1432564 h 1432564"/>
              <a:gd name="connsiteX0" fmla="*/ 539938 w 2745014"/>
              <a:gd name="connsiteY0" fmla="*/ 12473 h 1488506"/>
              <a:gd name="connsiteX1" fmla="*/ 230938 w 2745014"/>
              <a:gd name="connsiteY1" fmla="*/ 15 h 1488506"/>
              <a:gd name="connsiteX2" fmla="*/ 4412 w 2745014"/>
              <a:gd name="connsiteY2" fmla="*/ 293894 h 1488506"/>
              <a:gd name="connsiteX3" fmla="*/ 82 w 2745014"/>
              <a:gd name="connsiteY3" fmla="*/ 579644 h 1488506"/>
              <a:gd name="connsiteX4" fmla="*/ 342117 w 2745014"/>
              <a:gd name="connsiteY4" fmla="*/ 874053 h 1488506"/>
              <a:gd name="connsiteX5" fmla="*/ 2398651 w 2745014"/>
              <a:gd name="connsiteY5" fmla="*/ 869724 h 1488506"/>
              <a:gd name="connsiteX6" fmla="*/ 2745014 w 2745014"/>
              <a:gd name="connsiteY6" fmla="*/ 1164133 h 1488506"/>
              <a:gd name="connsiteX7" fmla="*/ 2745014 w 2745014"/>
              <a:gd name="connsiteY7" fmla="*/ 1432564 h 1488506"/>
              <a:gd name="connsiteX0" fmla="*/ 539938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  <a:gd name="connsiteX0" fmla="*/ 671472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  <a:gd name="connsiteX0" fmla="*/ 671472 w 2745014"/>
              <a:gd name="connsiteY0" fmla="*/ 12473 h 1164132"/>
              <a:gd name="connsiteX1" fmla="*/ 230938 w 2745014"/>
              <a:gd name="connsiteY1" fmla="*/ 15 h 1164132"/>
              <a:gd name="connsiteX2" fmla="*/ 4412 w 2745014"/>
              <a:gd name="connsiteY2" fmla="*/ 293894 h 1164132"/>
              <a:gd name="connsiteX3" fmla="*/ 82 w 2745014"/>
              <a:gd name="connsiteY3" fmla="*/ 579644 h 1164132"/>
              <a:gd name="connsiteX4" fmla="*/ 342117 w 2745014"/>
              <a:gd name="connsiteY4" fmla="*/ 874053 h 1164132"/>
              <a:gd name="connsiteX5" fmla="*/ 2398651 w 2745014"/>
              <a:gd name="connsiteY5" fmla="*/ 869724 h 1164132"/>
              <a:gd name="connsiteX6" fmla="*/ 2745014 w 2745014"/>
              <a:gd name="connsiteY6" fmla="*/ 1164133 h 1164132"/>
              <a:gd name="connsiteX0" fmla="*/ 671472 w 2398650"/>
              <a:gd name="connsiteY0" fmla="*/ 12473 h 874052"/>
              <a:gd name="connsiteX1" fmla="*/ 230938 w 2398650"/>
              <a:gd name="connsiteY1" fmla="*/ 15 h 874052"/>
              <a:gd name="connsiteX2" fmla="*/ 4412 w 2398650"/>
              <a:gd name="connsiteY2" fmla="*/ 293894 h 874052"/>
              <a:gd name="connsiteX3" fmla="*/ 82 w 2398650"/>
              <a:gd name="connsiteY3" fmla="*/ 579644 h 874052"/>
              <a:gd name="connsiteX4" fmla="*/ 342117 w 2398650"/>
              <a:gd name="connsiteY4" fmla="*/ 874053 h 874052"/>
              <a:gd name="connsiteX5" fmla="*/ 2398651 w 2398650"/>
              <a:gd name="connsiteY5" fmla="*/ 869724 h 874052"/>
              <a:gd name="connsiteX0" fmla="*/ 671472 w 4500092"/>
              <a:gd name="connsiteY0" fmla="*/ 12473 h 874052"/>
              <a:gd name="connsiteX1" fmla="*/ 230938 w 4500092"/>
              <a:gd name="connsiteY1" fmla="*/ 15 h 874052"/>
              <a:gd name="connsiteX2" fmla="*/ 4412 w 4500092"/>
              <a:gd name="connsiteY2" fmla="*/ 293894 h 874052"/>
              <a:gd name="connsiteX3" fmla="*/ 82 w 4500092"/>
              <a:gd name="connsiteY3" fmla="*/ 579644 h 874052"/>
              <a:gd name="connsiteX4" fmla="*/ 342117 w 4500092"/>
              <a:gd name="connsiteY4" fmla="*/ 874053 h 874052"/>
              <a:gd name="connsiteX5" fmla="*/ 4500092 w 4500092"/>
              <a:gd name="connsiteY5" fmla="*/ 824156 h 874052"/>
              <a:gd name="connsiteX0" fmla="*/ 230938 w 4500092"/>
              <a:gd name="connsiteY0" fmla="*/ 15 h 874052"/>
              <a:gd name="connsiteX1" fmla="*/ 4412 w 4500092"/>
              <a:gd name="connsiteY1" fmla="*/ 293894 h 874052"/>
              <a:gd name="connsiteX2" fmla="*/ 82 w 4500092"/>
              <a:gd name="connsiteY2" fmla="*/ 579644 h 874052"/>
              <a:gd name="connsiteX3" fmla="*/ 342117 w 4500092"/>
              <a:gd name="connsiteY3" fmla="*/ 874053 h 874052"/>
              <a:gd name="connsiteX4" fmla="*/ 4500092 w 4500092"/>
              <a:gd name="connsiteY4" fmla="*/ 824156 h 874052"/>
              <a:gd name="connsiteX0" fmla="*/ 4412 w 4500092"/>
              <a:gd name="connsiteY0" fmla="*/ 1 h 580159"/>
              <a:gd name="connsiteX1" fmla="*/ 82 w 4500092"/>
              <a:gd name="connsiteY1" fmla="*/ 285751 h 580159"/>
              <a:gd name="connsiteX2" fmla="*/ 342117 w 4500092"/>
              <a:gd name="connsiteY2" fmla="*/ 580160 h 580159"/>
              <a:gd name="connsiteX3" fmla="*/ 4500092 w 4500092"/>
              <a:gd name="connsiteY3" fmla="*/ 530263 h 580159"/>
              <a:gd name="connsiteX0" fmla="*/ 406 w 4500501"/>
              <a:gd name="connsiteY0" fmla="*/ 0 h 874051"/>
              <a:gd name="connsiteX1" fmla="*/ 491 w 4500501"/>
              <a:gd name="connsiteY1" fmla="*/ 579643 h 874051"/>
              <a:gd name="connsiteX2" fmla="*/ 342526 w 4500501"/>
              <a:gd name="connsiteY2" fmla="*/ 874052 h 874051"/>
              <a:gd name="connsiteX3" fmla="*/ 4500501 w 4500501"/>
              <a:gd name="connsiteY3" fmla="*/ 824155 h 874051"/>
              <a:gd name="connsiteX0" fmla="*/ 406 w 4500501"/>
              <a:gd name="connsiteY0" fmla="*/ 0 h 901523"/>
              <a:gd name="connsiteX1" fmla="*/ 491 w 4500501"/>
              <a:gd name="connsiteY1" fmla="*/ 579643 h 901523"/>
              <a:gd name="connsiteX2" fmla="*/ 342526 w 4500501"/>
              <a:gd name="connsiteY2" fmla="*/ 874052 h 901523"/>
              <a:gd name="connsiteX3" fmla="*/ 4500501 w 4500501"/>
              <a:gd name="connsiteY3" fmla="*/ 901523 h 9015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4500501" h="901523">
                <a:moveTo>
                  <a:pt x="406" y="0"/>
                </a:moveTo>
                <a:cubicBezTo>
                  <a:pt x="-1037" y="95250"/>
                  <a:pt x="1934" y="484393"/>
                  <a:pt x="491" y="579643"/>
                </a:cubicBezTo>
                <a:cubicBezTo>
                  <a:pt x="-2395" y="799006"/>
                  <a:pt x="70245" y="846253"/>
                  <a:pt x="342526" y="874052"/>
                </a:cubicBezTo>
                <a:lnTo>
                  <a:pt x="4500501" y="901523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5A8778E2-30A7-4831-8E2A-F934878B4096}"/>
              </a:ext>
            </a:extLst>
          </xdr:cNvPr>
          <xdr:cNvSpPr/>
        </xdr:nvSpPr>
        <xdr:spPr>
          <a:xfrm>
            <a:off x="1582615" y="25790769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320</a:t>
            </a:r>
          </a:p>
        </xdr:txBody>
      </xdr:sp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06981EB8-7E13-4BC2-8D6A-E5DFB15F614B}"/>
              </a:ext>
            </a:extLst>
          </xdr:cNvPr>
          <xdr:cNvSpPr/>
        </xdr:nvSpPr>
        <xdr:spPr>
          <a:xfrm rot="5400000">
            <a:off x="798635" y="25754135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10</a:t>
            </a:r>
          </a:p>
        </xdr:txBody>
      </xdr:sp>
    </xdr:grpSp>
    <xdr:clientData/>
  </xdr:twoCellAnchor>
  <xdr:twoCellAnchor>
    <xdr:from>
      <xdr:col>1</xdr:col>
      <xdr:colOff>939800</xdr:colOff>
      <xdr:row>6</xdr:row>
      <xdr:rowOff>220133</xdr:rowOff>
    </xdr:from>
    <xdr:to>
      <xdr:col>1</xdr:col>
      <xdr:colOff>1687152</xdr:colOff>
      <xdr:row>6</xdr:row>
      <xdr:rowOff>856193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A67CBEE-4DCA-4287-A786-7537A57AF045}"/>
            </a:ext>
          </a:extLst>
        </xdr:cNvPr>
        <xdr:cNvGrpSpPr/>
      </xdr:nvGrpSpPr>
      <xdr:grpSpPr>
        <a:xfrm>
          <a:off x="1591733" y="3539066"/>
          <a:ext cx="747352" cy="636060"/>
          <a:chOff x="1443403" y="21401942"/>
          <a:chExt cx="747352" cy="636060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CE1E5E8-E236-4849-9A94-184DADEFBAF3}"/>
              </a:ext>
            </a:extLst>
          </xdr:cNvPr>
          <xdr:cNvGrpSpPr/>
        </xdr:nvGrpSpPr>
        <xdr:grpSpPr>
          <a:xfrm>
            <a:off x="1443403" y="21401942"/>
            <a:ext cx="528497" cy="491002"/>
            <a:chOff x="1291526" y="1041292"/>
            <a:chExt cx="1356145" cy="1130184"/>
          </a:xfrm>
        </xdr:grpSpPr>
        <xdr:sp macro="" textlink="">
          <xdr:nvSpPr>
            <xdr:cNvPr id="47" name="Rectangle 37">
              <a:extLst>
                <a:ext uri="{FF2B5EF4-FFF2-40B4-BE49-F238E27FC236}">
                  <a16:creationId xmlns:a16="http://schemas.microsoft.com/office/drawing/2014/main" id="{6F351B76-DA0F-40C1-9FDB-16B9B85BB232}"/>
                </a:ext>
              </a:extLst>
            </xdr:cNvPr>
            <xdr:cNvSpPr/>
          </xdr:nvSpPr>
          <xdr:spPr>
            <a:xfrm>
              <a:off x="1291526" y="1041292"/>
              <a:ext cx="1356145" cy="1130184"/>
            </a:xfrm>
            <a:custGeom>
              <a:avLst/>
              <a:gdLst>
                <a:gd name="connsiteX0" fmla="*/ 0 w 1378857"/>
                <a:gd name="connsiteY0" fmla="*/ 0 h 1143000"/>
                <a:gd name="connsiteX1" fmla="*/ 1378857 w 1378857"/>
                <a:gd name="connsiteY1" fmla="*/ 0 h 1143000"/>
                <a:gd name="connsiteX2" fmla="*/ 1378857 w 1378857"/>
                <a:gd name="connsiteY2" fmla="*/ 1143000 h 1143000"/>
                <a:gd name="connsiteX3" fmla="*/ 0 w 1378857"/>
                <a:gd name="connsiteY3" fmla="*/ 1143000 h 1143000"/>
                <a:gd name="connsiteX4" fmla="*/ 0 w 1378857"/>
                <a:gd name="connsiteY4" fmla="*/ 0 h 1143000"/>
                <a:gd name="connsiteX0" fmla="*/ 0 w 1378857"/>
                <a:gd name="connsiteY0" fmla="*/ 0 h 1143000"/>
                <a:gd name="connsiteX1" fmla="*/ 299357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0 h 1143000"/>
                <a:gd name="connsiteX0" fmla="*/ 0 w 1378857"/>
                <a:gd name="connsiteY0" fmla="*/ 0 h 1143000"/>
                <a:gd name="connsiteX1" fmla="*/ 344715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279072 w 1378857"/>
                <a:gd name="connsiteY2" fmla="*/ 0 h 1143000"/>
                <a:gd name="connsiteX3" fmla="*/ 1378857 w 1378857"/>
                <a:gd name="connsiteY3" fmla="*/ 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0 w 1378857"/>
                <a:gd name="connsiteY6" fmla="*/ 1143000 h 1143000"/>
                <a:gd name="connsiteX7" fmla="*/ 0 w 1378857"/>
                <a:gd name="connsiteY7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0 w 1378857"/>
                <a:gd name="connsiteY6" fmla="*/ 1143000 h 1143000"/>
                <a:gd name="connsiteX7" fmla="*/ 0 w 1378857"/>
                <a:gd name="connsiteY7" fmla="*/ 943429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943429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857250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034143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857250 h 1143000"/>
                <a:gd name="connsiteX8" fmla="*/ 0 w 1378857"/>
                <a:gd name="connsiteY8" fmla="*/ 285750 h 1143000"/>
                <a:gd name="connsiteX0" fmla="*/ 0 w 1378857"/>
                <a:gd name="connsiteY0" fmla="*/ 285750 h 1143036"/>
                <a:gd name="connsiteX1" fmla="*/ 344715 w 1378857"/>
                <a:gd name="connsiteY1" fmla="*/ 0 h 1143036"/>
                <a:gd name="connsiteX2" fmla="*/ 1034143 w 1378857"/>
                <a:gd name="connsiteY2" fmla="*/ 0 h 1143036"/>
                <a:gd name="connsiteX3" fmla="*/ 1378857 w 1378857"/>
                <a:gd name="connsiteY3" fmla="*/ 285750 h 1143036"/>
                <a:gd name="connsiteX4" fmla="*/ 1378857 w 1378857"/>
                <a:gd name="connsiteY4" fmla="*/ 866321 h 1143036"/>
                <a:gd name="connsiteX5" fmla="*/ 1034143 w 1378857"/>
                <a:gd name="connsiteY5" fmla="*/ 1143000 h 1143036"/>
                <a:gd name="connsiteX6" fmla="*/ 344715 w 1378857"/>
                <a:gd name="connsiteY6" fmla="*/ 1143000 h 1143036"/>
                <a:gd name="connsiteX7" fmla="*/ 0 w 1378857"/>
                <a:gd name="connsiteY7" fmla="*/ 857250 h 1143036"/>
                <a:gd name="connsiteX8" fmla="*/ 0 w 1378857"/>
                <a:gd name="connsiteY8" fmla="*/ 285750 h 1143036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387"/>
                <a:gd name="connsiteX1" fmla="*/ 344715 w 1378900"/>
                <a:gd name="connsiteY1" fmla="*/ 0 h 1143387"/>
                <a:gd name="connsiteX2" fmla="*/ 1034143 w 1378900"/>
                <a:gd name="connsiteY2" fmla="*/ 0 h 1143387"/>
                <a:gd name="connsiteX3" fmla="*/ 1378857 w 1378900"/>
                <a:gd name="connsiteY3" fmla="*/ 285750 h 1143387"/>
                <a:gd name="connsiteX4" fmla="*/ 1378857 w 1378900"/>
                <a:gd name="connsiteY4" fmla="*/ 866321 h 1143387"/>
                <a:gd name="connsiteX5" fmla="*/ 1034143 w 1378900"/>
                <a:gd name="connsiteY5" fmla="*/ 1143000 h 1143387"/>
                <a:gd name="connsiteX6" fmla="*/ 344715 w 1378900"/>
                <a:gd name="connsiteY6" fmla="*/ 1143000 h 1143387"/>
                <a:gd name="connsiteX7" fmla="*/ 0 w 1378900"/>
                <a:gd name="connsiteY7" fmla="*/ 857250 h 1143387"/>
                <a:gd name="connsiteX8" fmla="*/ 0 w 1378900"/>
                <a:gd name="connsiteY8" fmla="*/ 285750 h 1143387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1378900" h="1143099">
                  <a:moveTo>
                    <a:pt x="0" y="285750"/>
                  </a:moveTo>
                  <a:cubicBezTo>
                    <a:pt x="6048" y="95250"/>
                    <a:pt x="80131" y="0"/>
                    <a:pt x="344715" y="0"/>
                  </a:cubicBezTo>
                  <a:lnTo>
                    <a:pt x="1034143" y="0"/>
                  </a:lnTo>
                  <a:cubicBezTo>
                    <a:pt x="1235226" y="9071"/>
                    <a:pt x="1377345" y="122464"/>
                    <a:pt x="1378857" y="285750"/>
                  </a:cubicBezTo>
                  <a:lnTo>
                    <a:pt x="1378857" y="866321"/>
                  </a:lnTo>
                  <a:cubicBezTo>
                    <a:pt x="1381880" y="1081011"/>
                    <a:pt x="1226155" y="1146024"/>
                    <a:pt x="1034143" y="1143000"/>
                  </a:cubicBezTo>
                  <a:lnTo>
                    <a:pt x="344715" y="1143000"/>
                  </a:lnTo>
                  <a:cubicBezTo>
                    <a:pt x="220738" y="1138464"/>
                    <a:pt x="6048" y="1115786"/>
                    <a:pt x="0" y="857250"/>
                  </a:cubicBezTo>
                  <a:lnTo>
                    <a:pt x="0" y="285750"/>
                  </a:lnTo>
                  <a:close/>
                </a:path>
              </a:pathLst>
            </a:cu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48" name="Straight Connector 47">
              <a:extLst>
                <a:ext uri="{FF2B5EF4-FFF2-40B4-BE49-F238E27FC236}">
                  <a16:creationId xmlns:a16="http://schemas.microsoft.com/office/drawing/2014/main" id="{799EDA0D-6300-4529-90C5-6F29EF43C301}"/>
                </a:ext>
              </a:extLst>
            </xdr:cNvPr>
            <xdr:cNvCxnSpPr/>
          </xdr:nvCxnSpPr>
          <xdr:spPr>
            <a:xfrm>
              <a:off x="1436817" y="1062817"/>
              <a:ext cx="339024" cy="282521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9" name="Straight Connector 48">
              <a:extLst>
                <a:ext uri="{FF2B5EF4-FFF2-40B4-BE49-F238E27FC236}">
                  <a16:creationId xmlns:a16="http://schemas.microsoft.com/office/drawing/2014/main" id="{9672E53C-52D0-4C93-9770-79ABCB041ABC}"/>
                </a:ext>
              </a:extLst>
            </xdr:cNvPr>
            <xdr:cNvCxnSpPr/>
          </xdr:nvCxnSpPr>
          <xdr:spPr>
            <a:xfrm>
              <a:off x="1297214" y="1216190"/>
              <a:ext cx="339024" cy="282521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44" name="Rectangle 43">
            <a:extLst>
              <a:ext uri="{FF2B5EF4-FFF2-40B4-BE49-F238E27FC236}">
                <a16:creationId xmlns:a16="http://schemas.microsoft.com/office/drawing/2014/main" id="{54FC8A11-C84F-48F8-90ED-EC2DA384A5C1}"/>
              </a:ext>
            </a:extLst>
          </xdr:cNvPr>
          <xdr:cNvSpPr/>
        </xdr:nvSpPr>
        <xdr:spPr>
          <a:xfrm rot="16200000">
            <a:off x="1948966" y="21541153"/>
            <a:ext cx="285750" cy="1978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30</a:t>
            </a:r>
          </a:p>
        </xdr:txBody>
      </xdr:sp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id="{AA0EF5A4-56A5-470B-A5AE-DE8A8CB744F5}"/>
              </a:ext>
            </a:extLst>
          </xdr:cNvPr>
          <xdr:cNvSpPr/>
        </xdr:nvSpPr>
        <xdr:spPr>
          <a:xfrm>
            <a:off x="1524000" y="2189284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30</a:t>
            </a:r>
          </a:p>
        </xdr:txBody>
      </xdr:sp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620FF311-211E-4C21-801A-24298A871ACD}"/>
              </a:ext>
            </a:extLst>
          </xdr:cNvPr>
          <xdr:cNvSpPr/>
        </xdr:nvSpPr>
        <xdr:spPr>
          <a:xfrm rot="2414799">
            <a:off x="1582614" y="21438577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10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427240</xdr:colOff>
      <xdr:row>4</xdr:row>
      <xdr:rowOff>122767</xdr:rowOff>
    </xdr:from>
    <xdr:to>
      <xdr:col>1</xdr:col>
      <xdr:colOff>2100920</xdr:colOff>
      <xdr:row>4</xdr:row>
      <xdr:rowOff>607807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3EECF96-88AE-4081-A285-910071E6F3F8}"/>
            </a:ext>
          </a:extLst>
        </xdr:cNvPr>
        <xdr:cNvGrpSpPr/>
      </xdr:nvGrpSpPr>
      <xdr:grpSpPr>
        <a:xfrm>
          <a:off x="1084465" y="1627717"/>
          <a:ext cx="1673680" cy="485040"/>
          <a:chOff x="920051" y="34977266"/>
          <a:chExt cx="1673680" cy="485040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36F7A91C-DD2B-464A-94B1-2B7415A5CDF9}"/>
              </a:ext>
            </a:extLst>
          </xdr:cNvPr>
          <xdr:cNvGrpSpPr/>
        </xdr:nvGrpSpPr>
        <xdr:grpSpPr>
          <a:xfrm>
            <a:off x="920051" y="35169231"/>
            <a:ext cx="1673680" cy="65942"/>
            <a:chOff x="2313215" y="1143000"/>
            <a:chExt cx="3401785" cy="285750"/>
          </a:xfrm>
        </xdr:grpSpPr>
        <xdr:sp macro="" textlink="">
          <xdr:nvSpPr>
            <xdr:cNvPr id="7" name="Freeform 137">
              <a:extLst>
                <a:ext uri="{FF2B5EF4-FFF2-40B4-BE49-F238E27FC236}">
                  <a16:creationId xmlns:a16="http://schemas.microsoft.com/office/drawing/2014/main" id="{B92870F1-369F-45B6-A436-69BF4AED0220}"/>
                </a:ext>
              </a:extLst>
            </xdr:cNvPr>
            <xdr:cNvSpPr/>
          </xdr:nvSpPr>
          <xdr:spPr>
            <a:xfrm>
              <a:off x="2313215" y="1143000"/>
              <a:ext cx="2381250" cy="285750"/>
            </a:xfrm>
            <a:custGeom>
              <a:avLst/>
              <a:gdLst>
                <a:gd name="connsiteX0" fmla="*/ 0 w 2394857"/>
                <a:gd name="connsiteY0" fmla="*/ 292554 h 299358"/>
                <a:gd name="connsiteX1" fmla="*/ 1381125 w 2394857"/>
                <a:gd name="connsiteY1" fmla="*/ 299358 h 299358"/>
                <a:gd name="connsiteX2" fmla="*/ 1721303 w 2394857"/>
                <a:gd name="connsiteY2" fmla="*/ 0 h 299358"/>
                <a:gd name="connsiteX3" fmla="*/ 2394857 w 2394857"/>
                <a:gd name="connsiteY3" fmla="*/ 13608 h 299358"/>
                <a:gd name="connsiteX0" fmla="*/ 0 w 2388053"/>
                <a:gd name="connsiteY0" fmla="*/ 292554 h 299358"/>
                <a:gd name="connsiteX1" fmla="*/ 1381125 w 2388053"/>
                <a:gd name="connsiteY1" fmla="*/ 299358 h 299358"/>
                <a:gd name="connsiteX2" fmla="*/ 1721303 w 2388053"/>
                <a:gd name="connsiteY2" fmla="*/ 0 h 299358"/>
                <a:gd name="connsiteX3" fmla="*/ 2388053 w 2388053"/>
                <a:gd name="connsiteY3" fmla="*/ 6804 h 299358"/>
                <a:gd name="connsiteX0" fmla="*/ 0 w 2388053"/>
                <a:gd name="connsiteY0" fmla="*/ 285750 h 292554"/>
                <a:gd name="connsiteX1" fmla="*/ 1381125 w 2388053"/>
                <a:gd name="connsiteY1" fmla="*/ 292554 h 292554"/>
                <a:gd name="connsiteX2" fmla="*/ 1707696 w 2388053"/>
                <a:gd name="connsiteY2" fmla="*/ 0 h 292554"/>
                <a:gd name="connsiteX3" fmla="*/ 2388053 w 2388053"/>
                <a:gd name="connsiteY3" fmla="*/ 0 h 292554"/>
                <a:gd name="connsiteX0" fmla="*/ 0 w 2388053"/>
                <a:gd name="connsiteY0" fmla="*/ 285750 h 285750"/>
                <a:gd name="connsiteX1" fmla="*/ 1367518 w 2388053"/>
                <a:gd name="connsiteY1" fmla="*/ 285750 h 285750"/>
                <a:gd name="connsiteX2" fmla="*/ 1707696 w 2388053"/>
                <a:gd name="connsiteY2" fmla="*/ 0 h 285750"/>
                <a:gd name="connsiteX3" fmla="*/ 2388053 w 2388053"/>
                <a:gd name="connsiteY3" fmla="*/ 0 h 285750"/>
                <a:gd name="connsiteX0" fmla="*/ 0 w 2381250"/>
                <a:gd name="connsiteY0" fmla="*/ 285750 h 285750"/>
                <a:gd name="connsiteX1" fmla="*/ 1360715 w 2381250"/>
                <a:gd name="connsiteY1" fmla="*/ 285750 h 285750"/>
                <a:gd name="connsiteX2" fmla="*/ 1700893 w 2381250"/>
                <a:gd name="connsiteY2" fmla="*/ 0 h 285750"/>
                <a:gd name="connsiteX3" fmla="*/ 2381250 w 2381250"/>
                <a:gd name="connsiteY3" fmla="*/ 0 h 2857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381250" h="285750">
                  <a:moveTo>
                    <a:pt x="0" y="285750"/>
                  </a:moveTo>
                  <a:lnTo>
                    <a:pt x="1360715" y="285750"/>
                  </a:lnTo>
                  <a:lnTo>
                    <a:pt x="1700893" y="0"/>
                  </a:lnTo>
                  <a:lnTo>
                    <a:pt x="2381250" y="0"/>
                  </a:lnTo>
                </a:path>
              </a:pathLst>
            </a:custGeom>
            <a:noFill/>
            <a:ln w="19050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8" name="Straight Connector 7">
              <a:extLst>
                <a:ext uri="{FF2B5EF4-FFF2-40B4-BE49-F238E27FC236}">
                  <a16:creationId xmlns:a16="http://schemas.microsoft.com/office/drawing/2014/main" id="{DDD3ABB6-87C1-421E-A047-1341A67BD8F2}"/>
                </a:ext>
              </a:extLst>
            </xdr:cNvPr>
            <xdr:cNvCxnSpPr/>
          </xdr:nvCxnSpPr>
          <xdr:spPr>
            <a:xfrm>
              <a:off x="4014107" y="1428750"/>
              <a:ext cx="1700893" cy="0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B41ABD5-3157-4A66-B99C-A9F1AB8CDFD8}"/>
              </a:ext>
            </a:extLst>
          </xdr:cNvPr>
          <xdr:cNvSpPr/>
        </xdr:nvSpPr>
        <xdr:spPr>
          <a:xfrm>
            <a:off x="1084385" y="35249827"/>
            <a:ext cx="32238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200</a:t>
            </a:r>
            <a:endParaRPr lang="en-US" sz="1000">
              <a:solidFill>
                <a:schemeClr val="tx1"/>
              </a:solidFill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265AA8B0-457D-4445-ACEC-06713BDE9078}"/>
              </a:ext>
            </a:extLst>
          </xdr:cNvPr>
          <xdr:cNvSpPr/>
        </xdr:nvSpPr>
        <xdr:spPr>
          <a:xfrm>
            <a:off x="2066192" y="35257154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270</a:t>
            </a: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D34D8C35-7E78-4525-81C4-010CB3788BBA}"/>
              </a:ext>
            </a:extLst>
          </xdr:cNvPr>
          <xdr:cNvSpPr/>
        </xdr:nvSpPr>
        <xdr:spPr>
          <a:xfrm>
            <a:off x="1756996" y="34977266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70</a:t>
            </a:r>
            <a:endParaRPr lang="en-US" sz="10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1</xdr:col>
      <xdr:colOff>448733</xdr:colOff>
      <xdr:row>3</xdr:row>
      <xdr:rowOff>177800</xdr:rowOff>
    </xdr:from>
    <xdr:to>
      <xdr:col>1</xdr:col>
      <xdr:colOff>2161767</xdr:colOff>
      <xdr:row>3</xdr:row>
      <xdr:rowOff>530873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E847FF48-7B35-48AE-B67A-5AA7CC02627C}"/>
            </a:ext>
          </a:extLst>
        </xdr:cNvPr>
        <xdr:cNvGrpSpPr/>
      </xdr:nvGrpSpPr>
      <xdr:grpSpPr>
        <a:xfrm>
          <a:off x="1105958" y="911225"/>
          <a:ext cx="1713034" cy="353073"/>
          <a:chOff x="989136" y="28161845"/>
          <a:chExt cx="1713034" cy="353073"/>
        </a:xfrm>
      </xdr:grpSpPr>
      <xdr:sp macro="" textlink="">
        <xdr:nvSpPr>
          <xdr:cNvPr id="10" name="Left Bracket 9">
            <a:extLst>
              <a:ext uri="{FF2B5EF4-FFF2-40B4-BE49-F238E27FC236}">
                <a16:creationId xmlns:a16="http://schemas.microsoft.com/office/drawing/2014/main" id="{F5827D57-4BC9-49D3-805F-BD94F554741E}"/>
              </a:ext>
            </a:extLst>
          </xdr:cNvPr>
          <xdr:cNvSpPr/>
        </xdr:nvSpPr>
        <xdr:spPr>
          <a:xfrm rot="16200000">
            <a:off x="1619252" y="27563884"/>
            <a:ext cx="285750" cy="1545981"/>
          </a:xfrm>
          <a:prstGeom prst="leftBracket">
            <a:avLst>
              <a:gd name="adj" fmla="val 0"/>
            </a:avLst>
          </a:prstGeom>
          <a:ln w="1905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AF2FC765-521E-444D-8566-D54095569BA1}"/>
              </a:ext>
            </a:extLst>
          </xdr:cNvPr>
          <xdr:cNvSpPr/>
        </xdr:nvSpPr>
        <xdr:spPr>
          <a:xfrm>
            <a:off x="1560635" y="2827459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25</a:t>
            </a:r>
          </a:p>
          <a:p>
            <a:pPr algn="ctr"/>
            <a:endParaRPr lang="en-US" sz="1000">
              <a:solidFill>
                <a:schemeClr val="tx1"/>
              </a:solidFill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308C8C16-1214-46CD-BC26-A6AB5F1BCFD9}"/>
              </a:ext>
            </a:extLst>
          </xdr:cNvPr>
          <xdr:cNvSpPr/>
        </xdr:nvSpPr>
        <xdr:spPr>
          <a:xfrm rot="16200000">
            <a:off x="2453055" y="28265804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170</a:t>
            </a:r>
            <a:endParaRPr lang="en-US" sz="10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1</xdr:col>
      <xdr:colOff>448733</xdr:colOff>
      <xdr:row>6</xdr:row>
      <xdr:rowOff>203200</xdr:rowOff>
    </xdr:from>
    <xdr:to>
      <xdr:col>1</xdr:col>
      <xdr:colOff>2059273</xdr:colOff>
      <xdr:row>6</xdr:row>
      <xdr:rowOff>556273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813BD30D-2C72-4C70-A0E9-7609C7036520}"/>
            </a:ext>
          </a:extLst>
        </xdr:cNvPr>
        <xdr:cNvGrpSpPr/>
      </xdr:nvGrpSpPr>
      <xdr:grpSpPr>
        <a:xfrm>
          <a:off x="1105958" y="3517900"/>
          <a:ext cx="1610540" cy="353073"/>
          <a:chOff x="902594" y="25650176"/>
          <a:chExt cx="1610540" cy="353073"/>
        </a:xfrm>
      </xdr:grpSpPr>
      <xdr:sp macro="" textlink="">
        <xdr:nvSpPr>
          <xdr:cNvPr id="14" name="Freeform 86">
            <a:extLst>
              <a:ext uri="{FF2B5EF4-FFF2-40B4-BE49-F238E27FC236}">
                <a16:creationId xmlns:a16="http://schemas.microsoft.com/office/drawing/2014/main" id="{3D39CB4E-F571-4E2F-99B2-8E0FD725E610}"/>
              </a:ext>
            </a:extLst>
          </xdr:cNvPr>
          <xdr:cNvSpPr/>
        </xdr:nvSpPr>
        <xdr:spPr>
          <a:xfrm>
            <a:off x="1078367" y="25690674"/>
            <a:ext cx="1434767" cy="312575"/>
          </a:xfrm>
          <a:custGeom>
            <a:avLst/>
            <a:gdLst>
              <a:gd name="connsiteX0" fmla="*/ 692728 w 2744932"/>
              <a:gd name="connsiteY0" fmla="*/ 0 h 1567295"/>
              <a:gd name="connsiteX1" fmla="*/ 342035 w 2744932"/>
              <a:gd name="connsiteY1" fmla="*/ 0 h 1567295"/>
              <a:gd name="connsiteX2" fmla="*/ 4330 w 2744932"/>
              <a:gd name="connsiteY2" fmla="*/ 281420 h 1567295"/>
              <a:gd name="connsiteX3" fmla="*/ 0 w 2744932"/>
              <a:gd name="connsiteY3" fmla="*/ 567170 h 1567295"/>
              <a:gd name="connsiteX4" fmla="*/ 342035 w 2744932"/>
              <a:gd name="connsiteY4" fmla="*/ 861579 h 1567295"/>
              <a:gd name="connsiteX5" fmla="*/ 2398569 w 2744932"/>
              <a:gd name="connsiteY5" fmla="*/ 857250 h 1567295"/>
              <a:gd name="connsiteX6" fmla="*/ 2744932 w 2744932"/>
              <a:gd name="connsiteY6" fmla="*/ 1151659 h 1567295"/>
              <a:gd name="connsiteX7" fmla="*/ 2744932 w 2744932"/>
              <a:gd name="connsiteY7" fmla="*/ 1420090 h 1567295"/>
              <a:gd name="connsiteX8" fmla="*/ 2489489 w 2744932"/>
              <a:gd name="connsiteY8" fmla="*/ 1567295 h 1567295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15 h 1420105"/>
              <a:gd name="connsiteX1" fmla="*/ 342347 w 2745244"/>
              <a:gd name="connsiteY1" fmla="*/ 15 h 1420105"/>
              <a:gd name="connsiteX2" fmla="*/ 4642 w 2745244"/>
              <a:gd name="connsiteY2" fmla="*/ 281435 h 1420105"/>
              <a:gd name="connsiteX3" fmla="*/ 312 w 2745244"/>
              <a:gd name="connsiteY3" fmla="*/ 567185 h 1420105"/>
              <a:gd name="connsiteX4" fmla="*/ 342347 w 2745244"/>
              <a:gd name="connsiteY4" fmla="*/ 861594 h 1420105"/>
              <a:gd name="connsiteX5" fmla="*/ 2398881 w 2745244"/>
              <a:gd name="connsiteY5" fmla="*/ 857265 h 1420105"/>
              <a:gd name="connsiteX6" fmla="*/ 2745244 w 2745244"/>
              <a:gd name="connsiteY6" fmla="*/ 1151674 h 1420105"/>
              <a:gd name="connsiteX7" fmla="*/ 2745244 w 2745244"/>
              <a:gd name="connsiteY7" fmla="*/ 1420105 h 1420105"/>
              <a:gd name="connsiteX0" fmla="*/ 693040 w 2745244"/>
              <a:gd name="connsiteY0" fmla="*/ 18 h 1420108"/>
              <a:gd name="connsiteX1" fmla="*/ 342347 w 2745244"/>
              <a:gd name="connsiteY1" fmla="*/ 18 h 1420108"/>
              <a:gd name="connsiteX2" fmla="*/ 4642 w 2745244"/>
              <a:gd name="connsiteY2" fmla="*/ 281438 h 1420108"/>
              <a:gd name="connsiteX3" fmla="*/ 312 w 2745244"/>
              <a:gd name="connsiteY3" fmla="*/ 567188 h 1420108"/>
              <a:gd name="connsiteX4" fmla="*/ 342347 w 2745244"/>
              <a:gd name="connsiteY4" fmla="*/ 861597 h 1420108"/>
              <a:gd name="connsiteX5" fmla="*/ 2398881 w 2745244"/>
              <a:gd name="connsiteY5" fmla="*/ 857268 h 1420108"/>
              <a:gd name="connsiteX6" fmla="*/ 2745244 w 2745244"/>
              <a:gd name="connsiteY6" fmla="*/ 1151677 h 1420108"/>
              <a:gd name="connsiteX7" fmla="*/ 2745244 w 2745244"/>
              <a:gd name="connsiteY7" fmla="*/ 1420108 h 1420108"/>
              <a:gd name="connsiteX0" fmla="*/ 693040 w 2745244"/>
              <a:gd name="connsiteY0" fmla="*/ 12474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39938 w 2745014"/>
              <a:gd name="connsiteY0" fmla="*/ 12473 h 1432564"/>
              <a:gd name="connsiteX1" fmla="*/ 230938 w 2745014"/>
              <a:gd name="connsiteY1" fmla="*/ 15 h 1432564"/>
              <a:gd name="connsiteX2" fmla="*/ 4412 w 2745014"/>
              <a:gd name="connsiteY2" fmla="*/ 293894 h 1432564"/>
              <a:gd name="connsiteX3" fmla="*/ 82 w 2745014"/>
              <a:gd name="connsiteY3" fmla="*/ 579644 h 1432564"/>
              <a:gd name="connsiteX4" fmla="*/ 342117 w 2745014"/>
              <a:gd name="connsiteY4" fmla="*/ 874053 h 1432564"/>
              <a:gd name="connsiteX5" fmla="*/ 2398651 w 2745014"/>
              <a:gd name="connsiteY5" fmla="*/ 869724 h 1432564"/>
              <a:gd name="connsiteX6" fmla="*/ 2745014 w 2745014"/>
              <a:gd name="connsiteY6" fmla="*/ 1164133 h 1432564"/>
              <a:gd name="connsiteX7" fmla="*/ 2745014 w 2745014"/>
              <a:gd name="connsiteY7" fmla="*/ 1432564 h 1432564"/>
              <a:gd name="connsiteX0" fmla="*/ 539938 w 2745014"/>
              <a:gd name="connsiteY0" fmla="*/ 12473 h 1488506"/>
              <a:gd name="connsiteX1" fmla="*/ 230938 w 2745014"/>
              <a:gd name="connsiteY1" fmla="*/ 15 h 1488506"/>
              <a:gd name="connsiteX2" fmla="*/ 4412 w 2745014"/>
              <a:gd name="connsiteY2" fmla="*/ 293894 h 1488506"/>
              <a:gd name="connsiteX3" fmla="*/ 82 w 2745014"/>
              <a:gd name="connsiteY3" fmla="*/ 579644 h 1488506"/>
              <a:gd name="connsiteX4" fmla="*/ 342117 w 2745014"/>
              <a:gd name="connsiteY4" fmla="*/ 874053 h 1488506"/>
              <a:gd name="connsiteX5" fmla="*/ 2398651 w 2745014"/>
              <a:gd name="connsiteY5" fmla="*/ 869724 h 1488506"/>
              <a:gd name="connsiteX6" fmla="*/ 2745014 w 2745014"/>
              <a:gd name="connsiteY6" fmla="*/ 1164133 h 1488506"/>
              <a:gd name="connsiteX7" fmla="*/ 2745014 w 2745014"/>
              <a:gd name="connsiteY7" fmla="*/ 1432564 h 1488506"/>
              <a:gd name="connsiteX0" fmla="*/ 539938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  <a:gd name="connsiteX0" fmla="*/ 671472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  <a:gd name="connsiteX0" fmla="*/ 671472 w 2745014"/>
              <a:gd name="connsiteY0" fmla="*/ 12473 h 1164132"/>
              <a:gd name="connsiteX1" fmla="*/ 230938 w 2745014"/>
              <a:gd name="connsiteY1" fmla="*/ 15 h 1164132"/>
              <a:gd name="connsiteX2" fmla="*/ 4412 w 2745014"/>
              <a:gd name="connsiteY2" fmla="*/ 293894 h 1164132"/>
              <a:gd name="connsiteX3" fmla="*/ 82 w 2745014"/>
              <a:gd name="connsiteY3" fmla="*/ 579644 h 1164132"/>
              <a:gd name="connsiteX4" fmla="*/ 342117 w 2745014"/>
              <a:gd name="connsiteY4" fmla="*/ 874053 h 1164132"/>
              <a:gd name="connsiteX5" fmla="*/ 2398651 w 2745014"/>
              <a:gd name="connsiteY5" fmla="*/ 869724 h 1164132"/>
              <a:gd name="connsiteX6" fmla="*/ 2745014 w 2745014"/>
              <a:gd name="connsiteY6" fmla="*/ 1164133 h 1164132"/>
              <a:gd name="connsiteX0" fmla="*/ 671472 w 2398650"/>
              <a:gd name="connsiteY0" fmla="*/ 12473 h 874052"/>
              <a:gd name="connsiteX1" fmla="*/ 230938 w 2398650"/>
              <a:gd name="connsiteY1" fmla="*/ 15 h 874052"/>
              <a:gd name="connsiteX2" fmla="*/ 4412 w 2398650"/>
              <a:gd name="connsiteY2" fmla="*/ 293894 h 874052"/>
              <a:gd name="connsiteX3" fmla="*/ 82 w 2398650"/>
              <a:gd name="connsiteY3" fmla="*/ 579644 h 874052"/>
              <a:gd name="connsiteX4" fmla="*/ 342117 w 2398650"/>
              <a:gd name="connsiteY4" fmla="*/ 874053 h 874052"/>
              <a:gd name="connsiteX5" fmla="*/ 2398651 w 2398650"/>
              <a:gd name="connsiteY5" fmla="*/ 869724 h 874052"/>
              <a:gd name="connsiteX0" fmla="*/ 671472 w 4500092"/>
              <a:gd name="connsiteY0" fmla="*/ 12473 h 874052"/>
              <a:gd name="connsiteX1" fmla="*/ 230938 w 4500092"/>
              <a:gd name="connsiteY1" fmla="*/ 15 h 874052"/>
              <a:gd name="connsiteX2" fmla="*/ 4412 w 4500092"/>
              <a:gd name="connsiteY2" fmla="*/ 293894 h 874052"/>
              <a:gd name="connsiteX3" fmla="*/ 82 w 4500092"/>
              <a:gd name="connsiteY3" fmla="*/ 579644 h 874052"/>
              <a:gd name="connsiteX4" fmla="*/ 342117 w 4500092"/>
              <a:gd name="connsiteY4" fmla="*/ 874053 h 874052"/>
              <a:gd name="connsiteX5" fmla="*/ 4500092 w 4500092"/>
              <a:gd name="connsiteY5" fmla="*/ 824156 h 874052"/>
              <a:gd name="connsiteX0" fmla="*/ 230938 w 4500092"/>
              <a:gd name="connsiteY0" fmla="*/ 15 h 874052"/>
              <a:gd name="connsiteX1" fmla="*/ 4412 w 4500092"/>
              <a:gd name="connsiteY1" fmla="*/ 293894 h 874052"/>
              <a:gd name="connsiteX2" fmla="*/ 82 w 4500092"/>
              <a:gd name="connsiteY2" fmla="*/ 579644 h 874052"/>
              <a:gd name="connsiteX3" fmla="*/ 342117 w 4500092"/>
              <a:gd name="connsiteY3" fmla="*/ 874053 h 874052"/>
              <a:gd name="connsiteX4" fmla="*/ 4500092 w 4500092"/>
              <a:gd name="connsiteY4" fmla="*/ 824156 h 874052"/>
              <a:gd name="connsiteX0" fmla="*/ 4412 w 4500092"/>
              <a:gd name="connsiteY0" fmla="*/ 1 h 580159"/>
              <a:gd name="connsiteX1" fmla="*/ 82 w 4500092"/>
              <a:gd name="connsiteY1" fmla="*/ 285751 h 580159"/>
              <a:gd name="connsiteX2" fmla="*/ 342117 w 4500092"/>
              <a:gd name="connsiteY2" fmla="*/ 580160 h 580159"/>
              <a:gd name="connsiteX3" fmla="*/ 4500092 w 4500092"/>
              <a:gd name="connsiteY3" fmla="*/ 530263 h 580159"/>
              <a:gd name="connsiteX0" fmla="*/ 406 w 4500501"/>
              <a:gd name="connsiteY0" fmla="*/ 0 h 874051"/>
              <a:gd name="connsiteX1" fmla="*/ 491 w 4500501"/>
              <a:gd name="connsiteY1" fmla="*/ 579643 h 874051"/>
              <a:gd name="connsiteX2" fmla="*/ 342526 w 4500501"/>
              <a:gd name="connsiteY2" fmla="*/ 874052 h 874051"/>
              <a:gd name="connsiteX3" fmla="*/ 4500501 w 4500501"/>
              <a:gd name="connsiteY3" fmla="*/ 824155 h 874051"/>
              <a:gd name="connsiteX0" fmla="*/ 406 w 4500501"/>
              <a:gd name="connsiteY0" fmla="*/ 0 h 901523"/>
              <a:gd name="connsiteX1" fmla="*/ 491 w 4500501"/>
              <a:gd name="connsiteY1" fmla="*/ 579643 h 901523"/>
              <a:gd name="connsiteX2" fmla="*/ 342526 w 4500501"/>
              <a:gd name="connsiteY2" fmla="*/ 874052 h 901523"/>
              <a:gd name="connsiteX3" fmla="*/ 4500501 w 4500501"/>
              <a:gd name="connsiteY3" fmla="*/ 901523 h 9015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4500501" h="901523">
                <a:moveTo>
                  <a:pt x="406" y="0"/>
                </a:moveTo>
                <a:cubicBezTo>
                  <a:pt x="-1037" y="95250"/>
                  <a:pt x="1934" y="484393"/>
                  <a:pt x="491" y="579643"/>
                </a:cubicBezTo>
                <a:cubicBezTo>
                  <a:pt x="-2395" y="799006"/>
                  <a:pt x="70245" y="846253"/>
                  <a:pt x="342526" y="874052"/>
                </a:cubicBezTo>
                <a:lnTo>
                  <a:pt x="4500501" y="901523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E21C4836-F936-4AEE-9AE1-F47532D52379}"/>
              </a:ext>
            </a:extLst>
          </xdr:cNvPr>
          <xdr:cNvSpPr/>
        </xdr:nvSpPr>
        <xdr:spPr>
          <a:xfrm>
            <a:off x="1582615" y="25790769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320</a:t>
            </a:r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62554E3E-0333-4BF8-8E85-DB226EE432D0}"/>
              </a:ext>
            </a:extLst>
          </xdr:cNvPr>
          <xdr:cNvSpPr/>
        </xdr:nvSpPr>
        <xdr:spPr>
          <a:xfrm rot="5400000">
            <a:off x="798635" y="25754135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10</a:t>
            </a:r>
          </a:p>
        </xdr:txBody>
      </xdr:sp>
    </xdr:grpSp>
    <xdr:clientData/>
  </xdr:twoCellAnchor>
  <xdr:twoCellAnchor>
    <xdr:from>
      <xdr:col>1</xdr:col>
      <xdr:colOff>914400</xdr:colOff>
      <xdr:row>7</xdr:row>
      <xdr:rowOff>220133</xdr:rowOff>
    </xdr:from>
    <xdr:to>
      <xdr:col>1</xdr:col>
      <xdr:colOff>1661752</xdr:colOff>
      <xdr:row>7</xdr:row>
      <xdr:rowOff>856193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8E80EB97-A366-47C0-AD59-2C9F936FFCB0}"/>
            </a:ext>
          </a:extLst>
        </xdr:cNvPr>
        <xdr:cNvGrpSpPr/>
      </xdr:nvGrpSpPr>
      <xdr:grpSpPr>
        <a:xfrm>
          <a:off x="1571625" y="4573058"/>
          <a:ext cx="747352" cy="636060"/>
          <a:chOff x="1443403" y="21401942"/>
          <a:chExt cx="747352" cy="636060"/>
        </a:xfrm>
      </xdr:grpSpPr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4E1C1857-DFCC-453F-A788-0A59B21FA8CD}"/>
              </a:ext>
            </a:extLst>
          </xdr:cNvPr>
          <xdr:cNvGrpSpPr/>
        </xdr:nvGrpSpPr>
        <xdr:grpSpPr>
          <a:xfrm>
            <a:off x="1443403" y="21401942"/>
            <a:ext cx="528497" cy="491002"/>
            <a:chOff x="1291526" y="1041292"/>
            <a:chExt cx="1356145" cy="1130184"/>
          </a:xfrm>
        </xdr:grpSpPr>
        <xdr:sp macro="" textlink="">
          <xdr:nvSpPr>
            <xdr:cNvPr id="22" name="Rectangle 37">
              <a:extLst>
                <a:ext uri="{FF2B5EF4-FFF2-40B4-BE49-F238E27FC236}">
                  <a16:creationId xmlns:a16="http://schemas.microsoft.com/office/drawing/2014/main" id="{DE9D6F6C-3DF8-4C65-AD5A-C9E30B2E5699}"/>
                </a:ext>
              </a:extLst>
            </xdr:cNvPr>
            <xdr:cNvSpPr/>
          </xdr:nvSpPr>
          <xdr:spPr>
            <a:xfrm>
              <a:off x="1291526" y="1041292"/>
              <a:ext cx="1356145" cy="1130184"/>
            </a:xfrm>
            <a:custGeom>
              <a:avLst/>
              <a:gdLst>
                <a:gd name="connsiteX0" fmla="*/ 0 w 1378857"/>
                <a:gd name="connsiteY0" fmla="*/ 0 h 1143000"/>
                <a:gd name="connsiteX1" fmla="*/ 1378857 w 1378857"/>
                <a:gd name="connsiteY1" fmla="*/ 0 h 1143000"/>
                <a:gd name="connsiteX2" fmla="*/ 1378857 w 1378857"/>
                <a:gd name="connsiteY2" fmla="*/ 1143000 h 1143000"/>
                <a:gd name="connsiteX3" fmla="*/ 0 w 1378857"/>
                <a:gd name="connsiteY3" fmla="*/ 1143000 h 1143000"/>
                <a:gd name="connsiteX4" fmla="*/ 0 w 1378857"/>
                <a:gd name="connsiteY4" fmla="*/ 0 h 1143000"/>
                <a:gd name="connsiteX0" fmla="*/ 0 w 1378857"/>
                <a:gd name="connsiteY0" fmla="*/ 0 h 1143000"/>
                <a:gd name="connsiteX1" fmla="*/ 299357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0 h 1143000"/>
                <a:gd name="connsiteX0" fmla="*/ 0 w 1378857"/>
                <a:gd name="connsiteY0" fmla="*/ 0 h 1143000"/>
                <a:gd name="connsiteX1" fmla="*/ 344715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279072 w 1378857"/>
                <a:gd name="connsiteY2" fmla="*/ 0 h 1143000"/>
                <a:gd name="connsiteX3" fmla="*/ 1378857 w 1378857"/>
                <a:gd name="connsiteY3" fmla="*/ 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0 w 1378857"/>
                <a:gd name="connsiteY6" fmla="*/ 1143000 h 1143000"/>
                <a:gd name="connsiteX7" fmla="*/ 0 w 1378857"/>
                <a:gd name="connsiteY7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0 w 1378857"/>
                <a:gd name="connsiteY6" fmla="*/ 1143000 h 1143000"/>
                <a:gd name="connsiteX7" fmla="*/ 0 w 1378857"/>
                <a:gd name="connsiteY7" fmla="*/ 943429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943429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857250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034143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857250 h 1143000"/>
                <a:gd name="connsiteX8" fmla="*/ 0 w 1378857"/>
                <a:gd name="connsiteY8" fmla="*/ 285750 h 1143000"/>
                <a:gd name="connsiteX0" fmla="*/ 0 w 1378857"/>
                <a:gd name="connsiteY0" fmla="*/ 285750 h 1143036"/>
                <a:gd name="connsiteX1" fmla="*/ 344715 w 1378857"/>
                <a:gd name="connsiteY1" fmla="*/ 0 h 1143036"/>
                <a:gd name="connsiteX2" fmla="*/ 1034143 w 1378857"/>
                <a:gd name="connsiteY2" fmla="*/ 0 h 1143036"/>
                <a:gd name="connsiteX3" fmla="*/ 1378857 w 1378857"/>
                <a:gd name="connsiteY3" fmla="*/ 285750 h 1143036"/>
                <a:gd name="connsiteX4" fmla="*/ 1378857 w 1378857"/>
                <a:gd name="connsiteY4" fmla="*/ 866321 h 1143036"/>
                <a:gd name="connsiteX5" fmla="*/ 1034143 w 1378857"/>
                <a:gd name="connsiteY5" fmla="*/ 1143000 h 1143036"/>
                <a:gd name="connsiteX6" fmla="*/ 344715 w 1378857"/>
                <a:gd name="connsiteY6" fmla="*/ 1143000 h 1143036"/>
                <a:gd name="connsiteX7" fmla="*/ 0 w 1378857"/>
                <a:gd name="connsiteY7" fmla="*/ 857250 h 1143036"/>
                <a:gd name="connsiteX8" fmla="*/ 0 w 1378857"/>
                <a:gd name="connsiteY8" fmla="*/ 285750 h 1143036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387"/>
                <a:gd name="connsiteX1" fmla="*/ 344715 w 1378900"/>
                <a:gd name="connsiteY1" fmla="*/ 0 h 1143387"/>
                <a:gd name="connsiteX2" fmla="*/ 1034143 w 1378900"/>
                <a:gd name="connsiteY2" fmla="*/ 0 h 1143387"/>
                <a:gd name="connsiteX3" fmla="*/ 1378857 w 1378900"/>
                <a:gd name="connsiteY3" fmla="*/ 285750 h 1143387"/>
                <a:gd name="connsiteX4" fmla="*/ 1378857 w 1378900"/>
                <a:gd name="connsiteY4" fmla="*/ 866321 h 1143387"/>
                <a:gd name="connsiteX5" fmla="*/ 1034143 w 1378900"/>
                <a:gd name="connsiteY5" fmla="*/ 1143000 h 1143387"/>
                <a:gd name="connsiteX6" fmla="*/ 344715 w 1378900"/>
                <a:gd name="connsiteY6" fmla="*/ 1143000 h 1143387"/>
                <a:gd name="connsiteX7" fmla="*/ 0 w 1378900"/>
                <a:gd name="connsiteY7" fmla="*/ 857250 h 1143387"/>
                <a:gd name="connsiteX8" fmla="*/ 0 w 1378900"/>
                <a:gd name="connsiteY8" fmla="*/ 285750 h 1143387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1378900" h="1143099">
                  <a:moveTo>
                    <a:pt x="0" y="285750"/>
                  </a:moveTo>
                  <a:cubicBezTo>
                    <a:pt x="6048" y="95250"/>
                    <a:pt x="80131" y="0"/>
                    <a:pt x="344715" y="0"/>
                  </a:cubicBezTo>
                  <a:lnTo>
                    <a:pt x="1034143" y="0"/>
                  </a:lnTo>
                  <a:cubicBezTo>
                    <a:pt x="1235226" y="9071"/>
                    <a:pt x="1377345" y="122464"/>
                    <a:pt x="1378857" y="285750"/>
                  </a:cubicBezTo>
                  <a:lnTo>
                    <a:pt x="1378857" y="866321"/>
                  </a:lnTo>
                  <a:cubicBezTo>
                    <a:pt x="1381880" y="1081011"/>
                    <a:pt x="1226155" y="1146024"/>
                    <a:pt x="1034143" y="1143000"/>
                  </a:cubicBezTo>
                  <a:lnTo>
                    <a:pt x="344715" y="1143000"/>
                  </a:lnTo>
                  <a:cubicBezTo>
                    <a:pt x="220738" y="1138464"/>
                    <a:pt x="6048" y="1115786"/>
                    <a:pt x="0" y="857250"/>
                  </a:cubicBezTo>
                  <a:lnTo>
                    <a:pt x="0" y="285750"/>
                  </a:lnTo>
                  <a:close/>
                </a:path>
              </a:pathLst>
            </a:cu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23" name="Straight Connector 22">
              <a:extLst>
                <a:ext uri="{FF2B5EF4-FFF2-40B4-BE49-F238E27FC236}">
                  <a16:creationId xmlns:a16="http://schemas.microsoft.com/office/drawing/2014/main" id="{84EF725A-037E-494D-B2BB-C4DB97A9107E}"/>
                </a:ext>
              </a:extLst>
            </xdr:cNvPr>
            <xdr:cNvCxnSpPr/>
          </xdr:nvCxnSpPr>
          <xdr:spPr>
            <a:xfrm>
              <a:off x="1436817" y="1062817"/>
              <a:ext cx="339024" cy="282521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" name="Straight Connector 23">
              <a:extLst>
                <a:ext uri="{FF2B5EF4-FFF2-40B4-BE49-F238E27FC236}">
                  <a16:creationId xmlns:a16="http://schemas.microsoft.com/office/drawing/2014/main" id="{5E8F419E-9467-4475-86BD-49904A8CCF19}"/>
                </a:ext>
              </a:extLst>
            </xdr:cNvPr>
            <xdr:cNvCxnSpPr/>
          </xdr:nvCxnSpPr>
          <xdr:spPr>
            <a:xfrm>
              <a:off x="1297214" y="1216190"/>
              <a:ext cx="339024" cy="282521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36C85E5A-1F29-4A8B-A827-37A0A04DEC28}"/>
              </a:ext>
            </a:extLst>
          </xdr:cNvPr>
          <xdr:cNvSpPr/>
        </xdr:nvSpPr>
        <xdr:spPr>
          <a:xfrm rot="16200000">
            <a:off x="1948966" y="21541153"/>
            <a:ext cx="285750" cy="1978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30</a:t>
            </a: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3B63955C-3FF3-4C9A-824D-2C5B5467E0EA}"/>
              </a:ext>
            </a:extLst>
          </xdr:cNvPr>
          <xdr:cNvSpPr/>
        </xdr:nvSpPr>
        <xdr:spPr>
          <a:xfrm>
            <a:off x="1524000" y="2189284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30</a:t>
            </a:r>
          </a:p>
        </xdr:txBody>
      </xdr:sp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EA38FF8D-4C81-4C48-9AE7-143B33FC229F}"/>
              </a:ext>
            </a:extLst>
          </xdr:cNvPr>
          <xdr:cNvSpPr/>
        </xdr:nvSpPr>
        <xdr:spPr>
          <a:xfrm rot="2414799">
            <a:off x="1582614" y="21438577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10</a:t>
            </a:r>
          </a:p>
        </xdr:txBody>
      </xdr:sp>
    </xdr:grpSp>
    <xdr:clientData/>
  </xdr:twoCellAnchor>
  <xdr:twoCellAnchor>
    <xdr:from>
      <xdr:col>1</xdr:col>
      <xdr:colOff>482600</xdr:colOff>
      <xdr:row>5</xdr:row>
      <xdr:rowOff>254000</xdr:rowOff>
    </xdr:from>
    <xdr:to>
      <xdr:col>1</xdr:col>
      <xdr:colOff>2156280</xdr:colOff>
      <xdr:row>5</xdr:row>
      <xdr:rowOff>739040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7CDAFD0A-DDC7-41CD-8049-BCB557717EAC}"/>
            </a:ext>
          </a:extLst>
        </xdr:cNvPr>
        <xdr:cNvGrpSpPr/>
      </xdr:nvGrpSpPr>
      <xdr:grpSpPr>
        <a:xfrm>
          <a:off x="1139825" y="2530475"/>
          <a:ext cx="1673680" cy="485040"/>
          <a:chOff x="920051" y="34977266"/>
          <a:chExt cx="1673680" cy="485040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1BBE2C62-5485-4592-BB5E-BF34B6FFE806}"/>
              </a:ext>
            </a:extLst>
          </xdr:cNvPr>
          <xdr:cNvGrpSpPr/>
        </xdr:nvGrpSpPr>
        <xdr:grpSpPr>
          <a:xfrm>
            <a:off x="920051" y="35169231"/>
            <a:ext cx="1673680" cy="65942"/>
            <a:chOff x="2313215" y="1143000"/>
            <a:chExt cx="3401785" cy="285750"/>
          </a:xfrm>
        </xdr:grpSpPr>
        <xdr:sp macro="" textlink="">
          <xdr:nvSpPr>
            <xdr:cNvPr id="30" name="Freeform 137">
              <a:extLst>
                <a:ext uri="{FF2B5EF4-FFF2-40B4-BE49-F238E27FC236}">
                  <a16:creationId xmlns:a16="http://schemas.microsoft.com/office/drawing/2014/main" id="{6C10B733-E984-4FC5-BDC5-1C43D7ABA296}"/>
                </a:ext>
              </a:extLst>
            </xdr:cNvPr>
            <xdr:cNvSpPr/>
          </xdr:nvSpPr>
          <xdr:spPr>
            <a:xfrm>
              <a:off x="2313215" y="1143000"/>
              <a:ext cx="2381250" cy="285750"/>
            </a:xfrm>
            <a:custGeom>
              <a:avLst/>
              <a:gdLst>
                <a:gd name="connsiteX0" fmla="*/ 0 w 2394857"/>
                <a:gd name="connsiteY0" fmla="*/ 292554 h 299358"/>
                <a:gd name="connsiteX1" fmla="*/ 1381125 w 2394857"/>
                <a:gd name="connsiteY1" fmla="*/ 299358 h 299358"/>
                <a:gd name="connsiteX2" fmla="*/ 1721303 w 2394857"/>
                <a:gd name="connsiteY2" fmla="*/ 0 h 299358"/>
                <a:gd name="connsiteX3" fmla="*/ 2394857 w 2394857"/>
                <a:gd name="connsiteY3" fmla="*/ 13608 h 299358"/>
                <a:gd name="connsiteX0" fmla="*/ 0 w 2388053"/>
                <a:gd name="connsiteY0" fmla="*/ 292554 h 299358"/>
                <a:gd name="connsiteX1" fmla="*/ 1381125 w 2388053"/>
                <a:gd name="connsiteY1" fmla="*/ 299358 h 299358"/>
                <a:gd name="connsiteX2" fmla="*/ 1721303 w 2388053"/>
                <a:gd name="connsiteY2" fmla="*/ 0 h 299358"/>
                <a:gd name="connsiteX3" fmla="*/ 2388053 w 2388053"/>
                <a:gd name="connsiteY3" fmla="*/ 6804 h 299358"/>
                <a:gd name="connsiteX0" fmla="*/ 0 w 2388053"/>
                <a:gd name="connsiteY0" fmla="*/ 285750 h 292554"/>
                <a:gd name="connsiteX1" fmla="*/ 1381125 w 2388053"/>
                <a:gd name="connsiteY1" fmla="*/ 292554 h 292554"/>
                <a:gd name="connsiteX2" fmla="*/ 1707696 w 2388053"/>
                <a:gd name="connsiteY2" fmla="*/ 0 h 292554"/>
                <a:gd name="connsiteX3" fmla="*/ 2388053 w 2388053"/>
                <a:gd name="connsiteY3" fmla="*/ 0 h 292554"/>
                <a:gd name="connsiteX0" fmla="*/ 0 w 2388053"/>
                <a:gd name="connsiteY0" fmla="*/ 285750 h 285750"/>
                <a:gd name="connsiteX1" fmla="*/ 1367518 w 2388053"/>
                <a:gd name="connsiteY1" fmla="*/ 285750 h 285750"/>
                <a:gd name="connsiteX2" fmla="*/ 1707696 w 2388053"/>
                <a:gd name="connsiteY2" fmla="*/ 0 h 285750"/>
                <a:gd name="connsiteX3" fmla="*/ 2388053 w 2388053"/>
                <a:gd name="connsiteY3" fmla="*/ 0 h 285750"/>
                <a:gd name="connsiteX0" fmla="*/ 0 w 2381250"/>
                <a:gd name="connsiteY0" fmla="*/ 285750 h 285750"/>
                <a:gd name="connsiteX1" fmla="*/ 1360715 w 2381250"/>
                <a:gd name="connsiteY1" fmla="*/ 285750 h 285750"/>
                <a:gd name="connsiteX2" fmla="*/ 1700893 w 2381250"/>
                <a:gd name="connsiteY2" fmla="*/ 0 h 285750"/>
                <a:gd name="connsiteX3" fmla="*/ 2381250 w 2381250"/>
                <a:gd name="connsiteY3" fmla="*/ 0 h 2857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381250" h="285750">
                  <a:moveTo>
                    <a:pt x="0" y="285750"/>
                  </a:moveTo>
                  <a:lnTo>
                    <a:pt x="1360715" y="285750"/>
                  </a:lnTo>
                  <a:lnTo>
                    <a:pt x="1700893" y="0"/>
                  </a:lnTo>
                  <a:lnTo>
                    <a:pt x="2381250" y="0"/>
                  </a:lnTo>
                </a:path>
              </a:pathLst>
            </a:custGeom>
            <a:noFill/>
            <a:ln w="19050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31" name="Straight Connector 30">
              <a:extLst>
                <a:ext uri="{FF2B5EF4-FFF2-40B4-BE49-F238E27FC236}">
                  <a16:creationId xmlns:a16="http://schemas.microsoft.com/office/drawing/2014/main" id="{1022D534-D762-4DD9-9A7D-777BCFF661D9}"/>
                </a:ext>
              </a:extLst>
            </xdr:cNvPr>
            <xdr:cNvCxnSpPr/>
          </xdr:nvCxnSpPr>
          <xdr:spPr>
            <a:xfrm>
              <a:off x="4014107" y="1428750"/>
              <a:ext cx="1700893" cy="0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1C826FFB-AAB2-4734-A5D4-C2512911FDDF}"/>
              </a:ext>
            </a:extLst>
          </xdr:cNvPr>
          <xdr:cNvSpPr/>
        </xdr:nvSpPr>
        <xdr:spPr>
          <a:xfrm>
            <a:off x="1084385" y="35249827"/>
            <a:ext cx="32238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200</a:t>
            </a:r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DA6DA2D0-E0D6-4183-BC62-93EEC85E41B3}"/>
              </a:ext>
            </a:extLst>
          </xdr:cNvPr>
          <xdr:cNvSpPr/>
        </xdr:nvSpPr>
        <xdr:spPr>
          <a:xfrm>
            <a:off x="2066192" y="35257154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190</a:t>
            </a:r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7754FAEF-E538-4448-A849-255AB17ECBBC}"/>
              </a:ext>
            </a:extLst>
          </xdr:cNvPr>
          <xdr:cNvSpPr/>
        </xdr:nvSpPr>
        <xdr:spPr>
          <a:xfrm>
            <a:off x="1756996" y="34977266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70</a:t>
            </a:r>
            <a:endParaRPr lang="en-US" sz="10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427240</xdr:colOff>
      <xdr:row>4</xdr:row>
      <xdr:rowOff>122767</xdr:rowOff>
    </xdr:from>
    <xdr:to>
      <xdr:col>1</xdr:col>
      <xdr:colOff>2100920</xdr:colOff>
      <xdr:row>4</xdr:row>
      <xdr:rowOff>607807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B1D970C-26D8-4E73-B94B-DBD9D582BDF0}"/>
            </a:ext>
          </a:extLst>
        </xdr:cNvPr>
        <xdr:cNvGrpSpPr/>
      </xdr:nvGrpSpPr>
      <xdr:grpSpPr>
        <a:xfrm>
          <a:off x="1084465" y="1627717"/>
          <a:ext cx="1673680" cy="485040"/>
          <a:chOff x="920051" y="34977266"/>
          <a:chExt cx="1673680" cy="485040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7FAA56D4-2EE6-442F-B88F-180C5FAACB62}"/>
              </a:ext>
            </a:extLst>
          </xdr:cNvPr>
          <xdr:cNvGrpSpPr/>
        </xdr:nvGrpSpPr>
        <xdr:grpSpPr>
          <a:xfrm>
            <a:off x="920051" y="35169231"/>
            <a:ext cx="1673680" cy="65942"/>
            <a:chOff x="2313215" y="1143000"/>
            <a:chExt cx="3401785" cy="285750"/>
          </a:xfrm>
        </xdr:grpSpPr>
        <xdr:sp macro="" textlink="">
          <xdr:nvSpPr>
            <xdr:cNvPr id="7" name="Freeform 137">
              <a:extLst>
                <a:ext uri="{FF2B5EF4-FFF2-40B4-BE49-F238E27FC236}">
                  <a16:creationId xmlns:a16="http://schemas.microsoft.com/office/drawing/2014/main" id="{A3E5E7F6-599E-40A9-8A3E-B4A404BE0DEF}"/>
                </a:ext>
              </a:extLst>
            </xdr:cNvPr>
            <xdr:cNvSpPr/>
          </xdr:nvSpPr>
          <xdr:spPr>
            <a:xfrm>
              <a:off x="2313215" y="1143000"/>
              <a:ext cx="2381250" cy="285750"/>
            </a:xfrm>
            <a:custGeom>
              <a:avLst/>
              <a:gdLst>
                <a:gd name="connsiteX0" fmla="*/ 0 w 2394857"/>
                <a:gd name="connsiteY0" fmla="*/ 292554 h 299358"/>
                <a:gd name="connsiteX1" fmla="*/ 1381125 w 2394857"/>
                <a:gd name="connsiteY1" fmla="*/ 299358 h 299358"/>
                <a:gd name="connsiteX2" fmla="*/ 1721303 w 2394857"/>
                <a:gd name="connsiteY2" fmla="*/ 0 h 299358"/>
                <a:gd name="connsiteX3" fmla="*/ 2394857 w 2394857"/>
                <a:gd name="connsiteY3" fmla="*/ 13608 h 299358"/>
                <a:gd name="connsiteX0" fmla="*/ 0 w 2388053"/>
                <a:gd name="connsiteY0" fmla="*/ 292554 h 299358"/>
                <a:gd name="connsiteX1" fmla="*/ 1381125 w 2388053"/>
                <a:gd name="connsiteY1" fmla="*/ 299358 h 299358"/>
                <a:gd name="connsiteX2" fmla="*/ 1721303 w 2388053"/>
                <a:gd name="connsiteY2" fmla="*/ 0 h 299358"/>
                <a:gd name="connsiteX3" fmla="*/ 2388053 w 2388053"/>
                <a:gd name="connsiteY3" fmla="*/ 6804 h 299358"/>
                <a:gd name="connsiteX0" fmla="*/ 0 w 2388053"/>
                <a:gd name="connsiteY0" fmla="*/ 285750 h 292554"/>
                <a:gd name="connsiteX1" fmla="*/ 1381125 w 2388053"/>
                <a:gd name="connsiteY1" fmla="*/ 292554 h 292554"/>
                <a:gd name="connsiteX2" fmla="*/ 1707696 w 2388053"/>
                <a:gd name="connsiteY2" fmla="*/ 0 h 292554"/>
                <a:gd name="connsiteX3" fmla="*/ 2388053 w 2388053"/>
                <a:gd name="connsiteY3" fmla="*/ 0 h 292554"/>
                <a:gd name="connsiteX0" fmla="*/ 0 w 2388053"/>
                <a:gd name="connsiteY0" fmla="*/ 285750 h 285750"/>
                <a:gd name="connsiteX1" fmla="*/ 1367518 w 2388053"/>
                <a:gd name="connsiteY1" fmla="*/ 285750 h 285750"/>
                <a:gd name="connsiteX2" fmla="*/ 1707696 w 2388053"/>
                <a:gd name="connsiteY2" fmla="*/ 0 h 285750"/>
                <a:gd name="connsiteX3" fmla="*/ 2388053 w 2388053"/>
                <a:gd name="connsiteY3" fmla="*/ 0 h 285750"/>
                <a:gd name="connsiteX0" fmla="*/ 0 w 2381250"/>
                <a:gd name="connsiteY0" fmla="*/ 285750 h 285750"/>
                <a:gd name="connsiteX1" fmla="*/ 1360715 w 2381250"/>
                <a:gd name="connsiteY1" fmla="*/ 285750 h 285750"/>
                <a:gd name="connsiteX2" fmla="*/ 1700893 w 2381250"/>
                <a:gd name="connsiteY2" fmla="*/ 0 h 285750"/>
                <a:gd name="connsiteX3" fmla="*/ 2381250 w 2381250"/>
                <a:gd name="connsiteY3" fmla="*/ 0 h 2857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381250" h="285750">
                  <a:moveTo>
                    <a:pt x="0" y="285750"/>
                  </a:moveTo>
                  <a:lnTo>
                    <a:pt x="1360715" y="285750"/>
                  </a:lnTo>
                  <a:lnTo>
                    <a:pt x="1700893" y="0"/>
                  </a:lnTo>
                  <a:lnTo>
                    <a:pt x="2381250" y="0"/>
                  </a:lnTo>
                </a:path>
              </a:pathLst>
            </a:custGeom>
            <a:noFill/>
            <a:ln w="19050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8" name="Straight Connector 7">
              <a:extLst>
                <a:ext uri="{FF2B5EF4-FFF2-40B4-BE49-F238E27FC236}">
                  <a16:creationId xmlns:a16="http://schemas.microsoft.com/office/drawing/2014/main" id="{325672C3-7547-42D8-92A2-258A43E08A62}"/>
                </a:ext>
              </a:extLst>
            </xdr:cNvPr>
            <xdr:cNvCxnSpPr/>
          </xdr:nvCxnSpPr>
          <xdr:spPr>
            <a:xfrm>
              <a:off x="4014107" y="1428750"/>
              <a:ext cx="1700893" cy="0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92952041-6E8E-4557-86F2-AC78DCC2FE69}"/>
              </a:ext>
            </a:extLst>
          </xdr:cNvPr>
          <xdr:cNvSpPr/>
        </xdr:nvSpPr>
        <xdr:spPr>
          <a:xfrm>
            <a:off x="1084385" y="35249827"/>
            <a:ext cx="32238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200</a:t>
            </a:r>
            <a:endParaRPr lang="en-US" sz="1000">
              <a:solidFill>
                <a:schemeClr val="tx1"/>
              </a:solidFill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68EC41AA-87A3-4169-9FEA-3745E87F5562}"/>
              </a:ext>
            </a:extLst>
          </xdr:cNvPr>
          <xdr:cNvSpPr/>
        </xdr:nvSpPr>
        <xdr:spPr>
          <a:xfrm>
            <a:off x="2066192" y="35257154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270</a:t>
            </a: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3B0A46D2-38BD-44F5-847D-D2E09697E134}"/>
              </a:ext>
            </a:extLst>
          </xdr:cNvPr>
          <xdr:cNvSpPr/>
        </xdr:nvSpPr>
        <xdr:spPr>
          <a:xfrm>
            <a:off x="1756996" y="34977266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70</a:t>
            </a:r>
            <a:endParaRPr lang="en-US" sz="10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1</xdr:col>
      <xdr:colOff>448733</xdr:colOff>
      <xdr:row>3</xdr:row>
      <xdr:rowOff>177800</xdr:rowOff>
    </xdr:from>
    <xdr:to>
      <xdr:col>1</xdr:col>
      <xdr:colOff>2161767</xdr:colOff>
      <xdr:row>3</xdr:row>
      <xdr:rowOff>530873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92F96696-51A5-4674-9C4B-E7DD14CC441C}"/>
            </a:ext>
          </a:extLst>
        </xdr:cNvPr>
        <xdr:cNvGrpSpPr/>
      </xdr:nvGrpSpPr>
      <xdr:grpSpPr>
        <a:xfrm>
          <a:off x="1105958" y="911225"/>
          <a:ext cx="1713034" cy="353073"/>
          <a:chOff x="989136" y="28161845"/>
          <a:chExt cx="1713034" cy="353073"/>
        </a:xfrm>
      </xdr:grpSpPr>
      <xdr:sp macro="" textlink="">
        <xdr:nvSpPr>
          <xdr:cNvPr id="10" name="Left Bracket 9">
            <a:extLst>
              <a:ext uri="{FF2B5EF4-FFF2-40B4-BE49-F238E27FC236}">
                <a16:creationId xmlns:a16="http://schemas.microsoft.com/office/drawing/2014/main" id="{0B23A358-512B-47CA-99DA-8AE99C41A169}"/>
              </a:ext>
            </a:extLst>
          </xdr:cNvPr>
          <xdr:cNvSpPr/>
        </xdr:nvSpPr>
        <xdr:spPr>
          <a:xfrm rot="16200000">
            <a:off x="1619252" y="27563884"/>
            <a:ext cx="285750" cy="1545981"/>
          </a:xfrm>
          <a:prstGeom prst="leftBracket">
            <a:avLst>
              <a:gd name="adj" fmla="val 0"/>
            </a:avLst>
          </a:prstGeom>
          <a:ln w="1905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73E9A7A3-186F-4F2D-B3A3-E0686674D497}"/>
              </a:ext>
            </a:extLst>
          </xdr:cNvPr>
          <xdr:cNvSpPr/>
        </xdr:nvSpPr>
        <xdr:spPr>
          <a:xfrm>
            <a:off x="1560635" y="2827459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25</a:t>
            </a:r>
          </a:p>
          <a:p>
            <a:pPr algn="ctr"/>
            <a:endParaRPr lang="en-US" sz="1000">
              <a:solidFill>
                <a:schemeClr val="tx1"/>
              </a:solidFill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96ED65E8-2790-4F74-BC6F-D1B3AFACA98D}"/>
              </a:ext>
            </a:extLst>
          </xdr:cNvPr>
          <xdr:cNvSpPr/>
        </xdr:nvSpPr>
        <xdr:spPr>
          <a:xfrm rot="16200000">
            <a:off x="2453055" y="28265804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170</a:t>
            </a:r>
            <a:endParaRPr lang="en-US" sz="10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1</xdr:col>
      <xdr:colOff>448733</xdr:colOff>
      <xdr:row>6</xdr:row>
      <xdr:rowOff>203200</xdr:rowOff>
    </xdr:from>
    <xdr:to>
      <xdr:col>1</xdr:col>
      <xdr:colOff>2059273</xdr:colOff>
      <xdr:row>6</xdr:row>
      <xdr:rowOff>556273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D427C7A6-59BD-4CC8-9E57-FD7D30F82B22}"/>
            </a:ext>
          </a:extLst>
        </xdr:cNvPr>
        <xdr:cNvGrpSpPr/>
      </xdr:nvGrpSpPr>
      <xdr:grpSpPr>
        <a:xfrm>
          <a:off x="1105958" y="3517900"/>
          <a:ext cx="1610540" cy="353073"/>
          <a:chOff x="902594" y="25650176"/>
          <a:chExt cx="1610540" cy="353073"/>
        </a:xfrm>
      </xdr:grpSpPr>
      <xdr:sp macro="" textlink="">
        <xdr:nvSpPr>
          <xdr:cNvPr id="14" name="Freeform 86">
            <a:extLst>
              <a:ext uri="{FF2B5EF4-FFF2-40B4-BE49-F238E27FC236}">
                <a16:creationId xmlns:a16="http://schemas.microsoft.com/office/drawing/2014/main" id="{D3856326-AADD-4949-8D19-FBAA48F028F9}"/>
              </a:ext>
            </a:extLst>
          </xdr:cNvPr>
          <xdr:cNvSpPr/>
        </xdr:nvSpPr>
        <xdr:spPr>
          <a:xfrm>
            <a:off x="1078367" y="25690674"/>
            <a:ext cx="1434767" cy="312575"/>
          </a:xfrm>
          <a:custGeom>
            <a:avLst/>
            <a:gdLst>
              <a:gd name="connsiteX0" fmla="*/ 692728 w 2744932"/>
              <a:gd name="connsiteY0" fmla="*/ 0 h 1567295"/>
              <a:gd name="connsiteX1" fmla="*/ 342035 w 2744932"/>
              <a:gd name="connsiteY1" fmla="*/ 0 h 1567295"/>
              <a:gd name="connsiteX2" fmla="*/ 4330 w 2744932"/>
              <a:gd name="connsiteY2" fmla="*/ 281420 h 1567295"/>
              <a:gd name="connsiteX3" fmla="*/ 0 w 2744932"/>
              <a:gd name="connsiteY3" fmla="*/ 567170 h 1567295"/>
              <a:gd name="connsiteX4" fmla="*/ 342035 w 2744932"/>
              <a:gd name="connsiteY4" fmla="*/ 861579 h 1567295"/>
              <a:gd name="connsiteX5" fmla="*/ 2398569 w 2744932"/>
              <a:gd name="connsiteY5" fmla="*/ 857250 h 1567295"/>
              <a:gd name="connsiteX6" fmla="*/ 2744932 w 2744932"/>
              <a:gd name="connsiteY6" fmla="*/ 1151659 h 1567295"/>
              <a:gd name="connsiteX7" fmla="*/ 2744932 w 2744932"/>
              <a:gd name="connsiteY7" fmla="*/ 1420090 h 1567295"/>
              <a:gd name="connsiteX8" fmla="*/ 2489489 w 2744932"/>
              <a:gd name="connsiteY8" fmla="*/ 1567295 h 1567295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15 h 1420105"/>
              <a:gd name="connsiteX1" fmla="*/ 342347 w 2745244"/>
              <a:gd name="connsiteY1" fmla="*/ 15 h 1420105"/>
              <a:gd name="connsiteX2" fmla="*/ 4642 w 2745244"/>
              <a:gd name="connsiteY2" fmla="*/ 281435 h 1420105"/>
              <a:gd name="connsiteX3" fmla="*/ 312 w 2745244"/>
              <a:gd name="connsiteY3" fmla="*/ 567185 h 1420105"/>
              <a:gd name="connsiteX4" fmla="*/ 342347 w 2745244"/>
              <a:gd name="connsiteY4" fmla="*/ 861594 h 1420105"/>
              <a:gd name="connsiteX5" fmla="*/ 2398881 w 2745244"/>
              <a:gd name="connsiteY5" fmla="*/ 857265 h 1420105"/>
              <a:gd name="connsiteX6" fmla="*/ 2745244 w 2745244"/>
              <a:gd name="connsiteY6" fmla="*/ 1151674 h 1420105"/>
              <a:gd name="connsiteX7" fmla="*/ 2745244 w 2745244"/>
              <a:gd name="connsiteY7" fmla="*/ 1420105 h 1420105"/>
              <a:gd name="connsiteX0" fmla="*/ 693040 w 2745244"/>
              <a:gd name="connsiteY0" fmla="*/ 18 h 1420108"/>
              <a:gd name="connsiteX1" fmla="*/ 342347 w 2745244"/>
              <a:gd name="connsiteY1" fmla="*/ 18 h 1420108"/>
              <a:gd name="connsiteX2" fmla="*/ 4642 w 2745244"/>
              <a:gd name="connsiteY2" fmla="*/ 281438 h 1420108"/>
              <a:gd name="connsiteX3" fmla="*/ 312 w 2745244"/>
              <a:gd name="connsiteY3" fmla="*/ 567188 h 1420108"/>
              <a:gd name="connsiteX4" fmla="*/ 342347 w 2745244"/>
              <a:gd name="connsiteY4" fmla="*/ 861597 h 1420108"/>
              <a:gd name="connsiteX5" fmla="*/ 2398881 w 2745244"/>
              <a:gd name="connsiteY5" fmla="*/ 857268 h 1420108"/>
              <a:gd name="connsiteX6" fmla="*/ 2745244 w 2745244"/>
              <a:gd name="connsiteY6" fmla="*/ 1151677 h 1420108"/>
              <a:gd name="connsiteX7" fmla="*/ 2745244 w 2745244"/>
              <a:gd name="connsiteY7" fmla="*/ 1420108 h 1420108"/>
              <a:gd name="connsiteX0" fmla="*/ 693040 w 2745244"/>
              <a:gd name="connsiteY0" fmla="*/ 12474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39938 w 2745014"/>
              <a:gd name="connsiteY0" fmla="*/ 12473 h 1432564"/>
              <a:gd name="connsiteX1" fmla="*/ 230938 w 2745014"/>
              <a:gd name="connsiteY1" fmla="*/ 15 h 1432564"/>
              <a:gd name="connsiteX2" fmla="*/ 4412 w 2745014"/>
              <a:gd name="connsiteY2" fmla="*/ 293894 h 1432564"/>
              <a:gd name="connsiteX3" fmla="*/ 82 w 2745014"/>
              <a:gd name="connsiteY3" fmla="*/ 579644 h 1432564"/>
              <a:gd name="connsiteX4" fmla="*/ 342117 w 2745014"/>
              <a:gd name="connsiteY4" fmla="*/ 874053 h 1432564"/>
              <a:gd name="connsiteX5" fmla="*/ 2398651 w 2745014"/>
              <a:gd name="connsiteY5" fmla="*/ 869724 h 1432564"/>
              <a:gd name="connsiteX6" fmla="*/ 2745014 w 2745014"/>
              <a:gd name="connsiteY6" fmla="*/ 1164133 h 1432564"/>
              <a:gd name="connsiteX7" fmla="*/ 2745014 w 2745014"/>
              <a:gd name="connsiteY7" fmla="*/ 1432564 h 1432564"/>
              <a:gd name="connsiteX0" fmla="*/ 539938 w 2745014"/>
              <a:gd name="connsiteY0" fmla="*/ 12473 h 1488506"/>
              <a:gd name="connsiteX1" fmla="*/ 230938 w 2745014"/>
              <a:gd name="connsiteY1" fmla="*/ 15 h 1488506"/>
              <a:gd name="connsiteX2" fmla="*/ 4412 w 2745014"/>
              <a:gd name="connsiteY2" fmla="*/ 293894 h 1488506"/>
              <a:gd name="connsiteX3" fmla="*/ 82 w 2745014"/>
              <a:gd name="connsiteY3" fmla="*/ 579644 h 1488506"/>
              <a:gd name="connsiteX4" fmla="*/ 342117 w 2745014"/>
              <a:gd name="connsiteY4" fmla="*/ 874053 h 1488506"/>
              <a:gd name="connsiteX5" fmla="*/ 2398651 w 2745014"/>
              <a:gd name="connsiteY5" fmla="*/ 869724 h 1488506"/>
              <a:gd name="connsiteX6" fmla="*/ 2745014 w 2745014"/>
              <a:gd name="connsiteY6" fmla="*/ 1164133 h 1488506"/>
              <a:gd name="connsiteX7" fmla="*/ 2745014 w 2745014"/>
              <a:gd name="connsiteY7" fmla="*/ 1432564 h 1488506"/>
              <a:gd name="connsiteX0" fmla="*/ 539938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  <a:gd name="connsiteX0" fmla="*/ 671472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  <a:gd name="connsiteX0" fmla="*/ 671472 w 2745014"/>
              <a:gd name="connsiteY0" fmla="*/ 12473 h 1164132"/>
              <a:gd name="connsiteX1" fmla="*/ 230938 w 2745014"/>
              <a:gd name="connsiteY1" fmla="*/ 15 h 1164132"/>
              <a:gd name="connsiteX2" fmla="*/ 4412 w 2745014"/>
              <a:gd name="connsiteY2" fmla="*/ 293894 h 1164132"/>
              <a:gd name="connsiteX3" fmla="*/ 82 w 2745014"/>
              <a:gd name="connsiteY3" fmla="*/ 579644 h 1164132"/>
              <a:gd name="connsiteX4" fmla="*/ 342117 w 2745014"/>
              <a:gd name="connsiteY4" fmla="*/ 874053 h 1164132"/>
              <a:gd name="connsiteX5" fmla="*/ 2398651 w 2745014"/>
              <a:gd name="connsiteY5" fmla="*/ 869724 h 1164132"/>
              <a:gd name="connsiteX6" fmla="*/ 2745014 w 2745014"/>
              <a:gd name="connsiteY6" fmla="*/ 1164133 h 1164132"/>
              <a:gd name="connsiteX0" fmla="*/ 671472 w 2398650"/>
              <a:gd name="connsiteY0" fmla="*/ 12473 h 874052"/>
              <a:gd name="connsiteX1" fmla="*/ 230938 w 2398650"/>
              <a:gd name="connsiteY1" fmla="*/ 15 h 874052"/>
              <a:gd name="connsiteX2" fmla="*/ 4412 w 2398650"/>
              <a:gd name="connsiteY2" fmla="*/ 293894 h 874052"/>
              <a:gd name="connsiteX3" fmla="*/ 82 w 2398650"/>
              <a:gd name="connsiteY3" fmla="*/ 579644 h 874052"/>
              <a:gd name="connsiteX4" fmla="*/ 342117 w 2398650"/>
              <a:gd name="connsiteY4" fmla="*/ 874053 h 874052"/>
              <a:gd name="connsiteX5" fmla="*/ 2398651 w 2398650"/>
              <a:gd name="connsiteY5" fmla="*/ 869724 h 874052"/>
              <a:gd name="connsiteX0" fmla="*/ 671472 w 4500092"/>
              <a:gd name="connsiteY0" fmla="*/ 12473 h 874052"/>
              <a:gd name="connsiteX1" fmla="*/ 230938 w 4500092"/>
              <a:gd name="connsiteY1" fmla="*/ 15 h 874052"/>
              <a:gd name="connsiteX2" fmla="*/ 4412 w 4500092"/>
              <a:gd name="connsiteY2" fmla="*/ 293894 h 874052"/>
              <a:gd name="connsiteX3" fmla="*/ 82 w 4500092"/>
              <a:gd name="connsiteY3" fmla="*/ 579644 h 874052"/>
              <a:gd name="connsiteX4" fmla="*/ 342117 w 4500092"/>
              <a:gd name="connsiteY4" fmla="*/ 874053 h 874052"/>
              <a:gd name="connsiteX5" fmla="*/ 4500092 w 4500092"/>
              <a:gd name="connsiteY5" fmla="*/ 824156 h 874052"/>
              <a:gd name="connsiteX0" fmla="*/ 230938 w 4500092"/>
              <a:gd name="connsiteY0" fmla="*/ 15 h 874052"/>
              <a:gd name="connsiteX1" fmla="*/ 4412 w 4500092"/>
              <a:gd name="connsiteY1" fmla="*/ 293894 h 874052"/>
              <a:gd name="connsiteX2" fmla="*/ 82 w 4500092"/>
              <a:gd name="connsiteY2" fmla="*/ 579644 h 874052"/>
              <a:gd name="connsiteX3" fmla="*/ 342117 w 4500092"/>
              <a:gd name="connsiteY3" fmla="*/ 874053 h 874052"/>
              <a:gd name="connsiteX4" fmla="*/ 4500092 w 4500092"/>
              <a:gd name="connsiteY4" fmla="*/ 824156 h 874052"/>
              <a:gd name="connsiteX0" fmla="*/ 4412 w 4500092"/>
              <a:gd name="connsiteY0" fmla="*/ 1 h 580159"/>
              <a:gd name="connsiteX1" fmla="*/ 82 w 4500092"/>
              <a:gd name="connsiteY1" fmla="*/ 285751 h 580159"/>
              <a:gd name="connsiteX2" fmla="*/ 342117 w 4500092"/>
              <a:gd name="connsiteY2" fmla="*/ 580160 h 580159"/>
              <a:gd name="connsiteX3" fmla="*/ 4500092 w 4500092"/>
              <a:gd name="connsiteY3" fmla="*/ 530263 h 580159"/>
              <a:gd name="connsiteX0" fmla="*/ 406 w 4500501"/>
              <a:gd name="connsiteY0" fmla="*/ 0 h 874051"/>
              <a:gd name="connsiteX1" fmla="*/ 491 w 4500501"/>
              <a:gd name="connsiteY1" fmla="*/ 579643 h 874051"/>
              <a:gd name="connsiteX2" fmla="*/ 342526 w 4500501"/>
              <a:gd name="connsiteY2" fmla="*/ 874052 h 874051"/>
              <a:gd name="connsiteX3" fmla="*/ 4500501 w 4500501"/>
              <a:gd name="connsiteY3" fmla="*/ 824155 h 874051"/>
              <a:gd name="connsiteX0" fmla="*/ 406 w 4500501"/>
              <a:gd name="connsiteY0" fmla="*/ 0 h 901523"/>
              <a:gd name="connsiteX1" fmla="*/ 491 w 4500501"/>
              <a:gd name="connsiteY1" fmla="*/ 579643 h 901523"/>
              <a:gd name="connsiteX2" fmla="*/ 342526 w 4500501"/>
              <a:gd name="connsiteY2" fmla="*/ 874052 h 901523"/>
              <a:gd name="connsiteX3" fmla="*/ 4500501 w 4500501"/>
              <a:gd name="connsiteY3" fmla="*/ 901523 h 9015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4500501" h="901523">
                <a:moveTo>
                  <a:pt x="406" y="0"/>
                </a:moveTo>
                <a:cubicBezTo>
                  <a:pt x="-1037" y="95250"/>
                  <a:pt x="1934" y="484393"/>
                  <a:pt x="491" y="579643"/>
                </a:cubicBezTo>
                <a:cubicBezTo>
                  <a:pt x="-2395" y="799006"/>
                  <a:pt x="70245" y="846253"/>
                  <a:pt x="342526" y="874052"/>
                </a:cubicBezTo>
                <a:lnTo>
                  <a:pt x="4500501" y="901523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E38B0377-8E5B-4741-BF9E-13DC472AFB2F}"/>
              </a:ext>
            </a:extLst>
          </xdr:cNvPr>
          <xdr:cNvSpPr/>
        </xdr:nvSpPr>
        <xdr:spPr>
          <a:xfrm>
            <a:off x="1582615" y="25790769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320</a:t>
            </a:r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C4FB32DC-86A6-489E-B741-F5FD734DBBA6}"/>
              </a:ext>
            </a:extLst>
          </xdr:cNvPr>
          <xdr:cNvSpPr/>
        </xdr:nvSpPr>
        <xdr:spPr>
          <a:xfrm rot="5400000">
            <a:off x="798635" y="25754135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10</a:t>
            </a:r>
          </a:p>
        </xdr:txBody>
      </xdr:sp>
    </xdr:grpSp>
    <xdr:clientData/>
  </xdr:twoCellAnchor>
  <xdr:twoCellAnchor>
    <xdr:from>
      <xdr:col>1</xdr:col>
      <xdr:colOff>914400</xdr:colOff>
      <xdr:row>7</xdr:row>
      <xdr:rowOff>220133</xdr:rowOff>
    </xdr:from>
    <xdr:to>
      <xdr:col>1</xdr:col>
      <xdr:colOff>1661752</xdr:colOff>
      <xdr:row>7</xdr:row>
      <xdr:rowOff>856193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A21686C0-C69E-495D-A064-78615173AE85}"/>
            </a:ext>
          </a:extLst>
        </xdr:cNvPr>
        <xdr:cNvGrpSpPr/>
      </xdr:nvGrpSpPr>
      <xdr:grpSpPr>
        <a:xfrm>
          <a:off x="1571625" y="4573058"/>
          <a:ext cx="747352" cy="636060"/>
          <a:chOff x="1443403" y="21401942"/>
          <a:chExt cx="747352" cy="636060"/>
        </a:xfrm>
      </xdr:grpSpPr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3385D6A5-F4FC-465A-BF25-3A23B18815BD}"/>
              </a:ext>
            </a:extLst>
          </xdr:cNvPr>
          <xdr:cNvGrpSpPr/>
        </xdr:nvGrpSpPr>
        <xdr:grpSpPr>
          <a:xfrm>
            <a:off x="1443403" y="21401942"/>
            <a:ext cx="528497" cy="491002"/>
            <a:chOff x="1291526" y="1041292"/>
            <a:chExt cx="1356145" cy="1130184"/>
          </a:xfrm>
        </xdr:grpSpPr>
        <xdr:sp macro="" textlink="">
          <xdr:nvSpPr>
            <xdr:cNvPr id="22" name="Rectangle 37">
              <a:extLst>
                <a:ext uri="{FF2B5EF4-FFF2-40B4-BE49-F238E27FC236}">
                  <a16:creationId xmlns:a16="http://schemas.microsoft.com/office/drawing/2014/main" id="{1EDFDE4E-FE02-42A4-AED3-A8C199753C27}"/>
                </a:ext>
              </a:extLst>
            </xdr:cNvPr>
            <xdr:cNvSpPr/>
          </xdr:nvSpPr>
          <xdr:spPr>
            <a:xfrm>
              <a:off x="1291526" y="1041292"/>
              <a:ext cx="1356145" cy="1130184"/>
            </a:xfrm>
            <a:custGeom>
              <a:avLst/>
              <a:gdLst>
                <a:gd name="connsiteX0" fmla="*/ 0 w 1378857"/>
                <a:gd name="connsiteY0" fmla="*/ 0 h 1143000"/>
                <a:gd name="connsiteX1" fmla="*/ 1378857 w 1378857"/>
                <a:gd name="connsiteY1" fmla="*/ 0 h 1143000"/>
                <a:gd name="connsiteX2" fmla="*/ 1378857 w 1378857"/>
                <a:gd name="connsiteY2" fmla="*/ 1143000 h 1143000"/>
                <a:gd name="connsiteX3" fmla="*/ 0 w 1378857"/>
                <a:gd name="connsiteY3" fmla="*/ 1143000 h 1143000"/>
                <a:gd name="connsiteX4" fmla="*/ 0 w 1378857"/>
                <a:gd name="connsiteY4" fmla="*/ 0 h 1143000"/>
                <a:gd name="connsiteX0" fmla="*/ 0 w 1378857"/>
                <a:gd name="connsiteY0" fmla="*/ 0 h 1143000"/>
                <a:gd name="connsiteX1" fmla="*/ 299357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0 h 1143000"/>
                <a:gd name="connsiteX0" fmla="*/ 0 w 1378857"/>
                <a:gd name="connsiteY0" fmla="*/ 0 h 1143000"/>
                <a:gd name="connsiteX1" fmla="*/ 344715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279072 w 1378857"/>
                <a:gd name="connsiteY2" fmla="*/ 0 h 1143000"/>
                <a:gd name="connsiteX3" fmla="*/ 1378857 w 1378857"/>
                <a:gd name="connsiteY3" fmla="*/ 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0 w 1378857"/>
                <a:gd name="connsiteY6" fmla="*/ 1143000 h 1143000"/>
                <a:gd name="connsiteX7" fmla="*/ 0 w 1378857"/>
                <a:gd name="connsiteY7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0 w 1378857"/>
                <a:gd name="connsiteY6" fmla="*/ 1143000 h 1143000"/>
                <a:gd name="connsiteX7" fmla="*/ 0 w 1378857"/>
                <a:gd name="connsiteY7" fmla="*/ 943429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943429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857250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034143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857250 h 1143000"/>
                <a:gd name="connsiteX8" fmla="*/ 0 w 1378857"/>
                <a:gd name="connsiteY8" fmla="*/ 285750 h 1143000"/>
                <a:gd name="connsiteX0" fmla="*/ 0 w 1378857"/>
                <a:gd name="connsiteY0" fmla="*/ 285750 h 1143036"/>
                <a:gd name="connsiteX1" fmla="*/ 344715 w 1378857"/>
                <a:gd name="connsiteY1" fmla="*/ 0 h 1143036"/>
                <a:gd name="connsiteX2" fmla="*/ 1034143 w 1378857"/>
                <a:gd name="connsiteY2" fmla="*/ 0 h 1143036"/>
                <a:gd name="connsiteX3" fmla="*/ 1378857 w 1378857"/>
                <a:gd name="connsiteY3" fmla="*/ 285750 h 1143036"/>
                <a:gd name="connsiteX4" fmla="*/ 1378857 w 1378857"/>
                <a:gd name="connsiteY4" fmla="*/ 866321 h 1143036"/>
                <a:gd name="connsiteX5" fmla="*/ 1034143 w 1378857"/>
                <a:gd name="connsiteY5" fmla="*/ 1143000 h 1143036"/>
                <a:gd name="connsiteX6" fmla="*/ 344715 w 1378857"/>
                <a:gd name="connsiteY6" fmla="*/ 1143000 h 1143036"/>
                <a:gd name="connsiteX7" fmla="*/ 0 w 1378857"/>
                <a:gd name="connsiteY7" fmla="*/ 857250 h 1143036"/>
                <a:gd name="connsiteX8" fmla="*/ 0 w 1378857"/>
                <a:gd name="connsiteY8" fmla="*/ 285750 h 1143036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387"/>
                <a:gd name="connsiteX1" fmla="*/ 344715 w 1378900"/>
                <a:gd name="connsiteY1" fmla="*/ 0 h 1143387"/>
                <a:gd name="connsiteX2" fmla="*/ 1034143 w 1378900"/>
                <a:gd name="connsiteY2" fmla="*/ 0 h 1143387"/>
                <a:gd name="connsiteX3" fmla="*/ 1378857 w 1378900"/>
                <a:gd name="connsiteY3" fmla="*/ 285750 h 1143387"/>
                <a:gd name="connsiteX4" fmla="*/ 1378857 w 1378900"/>
                <a:gd name="connsiteY4" fmla="*/ 866321 h 1143387"/>
                <a:gd name="connsiteX5" fmla="*/ 1034143 w 1378900"/>
                <a:gd name="connsiteY5" fmla="*/ 1143000 h 1143387"/>
                <a:gd name="connsiteX6" fmla="*/ 344715 w 1378900"/>
                <a:gd name="connsiteY6" fmla="*/ 1143000 h 1143387"/>
                <a:gd name="connsiteX7" fmla="*/ 0 w 1378900"/>
                <a:gd name="connsiteY7" fmla="*/ 857250 h 1143387"/>
                <a:gd name="connsiteX8" fmla="*/ 0 w 1378900"/>
                <a:gd name="connsiteY8" fmla="*/ 285750 h 1143387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1378900" h="1143099">
                  <a:moveTo>
                    <a:pt x="0" y="285750"/>
                  </a:moveTo>
                  <a:cubicBezTo>
                    <a:pt x="6048" y="95250"/>
                    <a:pt x="80131" y="0"/>
                    <a:pt x="344715" y="0"/>
                  </a:cubicBezTo>
                  <a:lnTo>
                    <a:pt x="1034143" y="0"/>
                  </a:lnTo>
                  <a:cubicBezTo>
                    <a:pt x="1235226" y="9071"/>
                    <a:pt x="1377345" y="122464"/>
                    <a:pt x="1378857" y="285750"/>
                  </a:cubicBezTo>
                  <a:lnTo>
                    <a:pt x="1378857" y="866321"/>
                  </a:lnTo>
                  <a:cubicBezTo>
                    <a:pt x="1381880" y="1081011"/>
                    <a:pt x="1226155" y="1146024"/>
                    <a:pt x="1034143" y="1143000"/>
                  </a:cubicBezTo>
                  <a:lnTo>
                    <a:pt x="344715" y="1143000"/>
                  </a:lnTo>
                  <a:cubicBezTo>
                    <a:pt x="220738" y="1138464"/>
                    <a:pt x="6048" y="1115786"/>
                    <a:pt x="0" y="857250"/>
                  </a:cubicBezTo>
                  <a:lnTo>
                    <a:pt x="0" y="285750"/>
                  </a:lnTo>
                  <a:close/>
                </a:path>
              </a:pathLst>
            </a:cu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23" name="Straight Connector 22">
              <a:extLst>
                <a:ext uri="{FF2B5EF4-FFF2-40B4-BE49-F238E27FC236}">
                  <a16:creationId xmlns:a16="http://schemas.microsoft.com/office/drawing/2014/main" id="{D6F661A1-3C95-47E9-8FBE-2AF250BF65CF}"/>
                </a:ext>
              </a:extLst>
            </xdr:cNvPr>
            <xdr:cNvCxnSpPr/>
          </xdr:nvCxnSpPr>
          <xdr:spPr>
            <a:xfrm>
              <a:off x="1436817" y="1062817"/>
              <a:ext cx="339024" cy="282521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" name="Straight Connector 23">
              <a:extLst>
                <a:ext uri="{FF2B5EF4-FFF2-40B4-BE49-F238E27FC236}">
                  <a16:creationId xmlns:a16="http://schemas.microsoft.com/office/drawing/2014/main" id="{EA2D7618-AC9B-4947-A595-3A0694DB450D}"/>
                </a:ext>
              </a:extLst>
            </xdr:cNvPr>
            <xdr:cNvCxnSpPr/>
          </xdr:nvCxnSpPr>
          <xdr:spPr>
            <a:xfrm>
              <a:off x="1297214" y="1216190"/>
              <a:ext cx="339024" cy="282521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A73EA984-8154-4C7B-AD55-8D671C78FDEB}"/>
              </a:ext>
            </a:extLst>
          </xdr:cNvPr>
          <xdr:cNvSpPr/>
        </xdr:nvSpPr>
        <xdr:spPr>
          <a:xfrm rot="16200000">
            <a:off x="1948966" y="21541153"/>
            <a:ext cx="285750" cy="1978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30</a:t>
            </a: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74C6044-9DA1-4E19-8C99-EB3C17A20ADA}"/>
              </a:ext>
            </a:extLst>
          </xdr:cNvPr>
          <xdr:cNvSpPr/>
        </xdr:nvSpPr>
        <xdr:spPr>
          <a:xfrm>
            <a:off x="1524000" y="2189284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30</a:t>
            </a:r>
          </a:p>
        </xdr:txBody>
      </xdr:sp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BF7A7E97-BA5B-4288-83D1-F420F583E2DA}"/>
              </a:ext>
            </a:extLst>
          </xdr:cNvPr>
          <xdr:cNvSpPr/>
        </xdr:nvSpPr>
        <xdr:spPr>
          <a:xfrm rot="2414799">
            <a:off x="1582614" y="21438577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10</a:t>
            </a:r>
          </a:p>
        </xdr:txBody>
      </xdr:sp>
    </xdr:grpSp>
    <xdr:clientData/>
  </xdr:twoCellAnchor>
  <xdr:twoCellAnchor>
    <xdr:from>
      <xdr:col>1</xdr:col>
      <xdr:colOff>482600</xdr:colOff>
      <xdr:row>5</xdr:row>
      <xdr:rowOff>254000</xdr:rowOff>
    </xdr:from>
    <xdr:to>
      <xdr:col>1</xdr:col>
      <xdr:colOff>2156280</xdr:colOff>
      <xdr:row>5</xdr:row>
      <xdr:rowOff>739040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728FB7D2-3628-4578-9E8F-2672746FCF06}"/>
            </a:ext>
          </a:extLst>
        </xdr:cNvPr>
        <xdr:cNvGrpSpPr/>
      </xdr:nvGrpSpPr>
      <xdr:grpSpPr>
        <a:xfrm>
          <a:off x="1139825" y="2530475"/>
          <a:ext cx="1673680" cy="485040"/>
          <a:chOff x="920051" y="34977266"/>
          <a:chExt cx="1673680" cy="485040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CED98F74-128E-4A6F-BF2F-3F218A3D336A}"/>
              </a:ext>
            </a:extLst>
          </xdr:cNvPr>
          <xdr:cNvGrpSpPr/>
        </xdr:nvGrpSpPr>
        <xdr:grpSpPr>
          <a:xfrm>
            <a:off x="920051" y="35169231"/>
            <a:ext cx="1673680" cy="65942"/>
            <a:chOff x="2313215" y="1143000"/>
            <a:chExt cx="3401785" cy="285750"/>
          </a:xfrm>
        </xdr:grpSpPr>
        <xdr:sp macro="" textlink="">
          <xdr:nvSpPr>
            <xdr:cNvPr id="30" name="Freeform 137">
              <a:extLst>
                <a:ext uri="{FF2B5EF4-FFF2-40B4-BE49-F238E27FC236}">
                  <a16:creationId xmlns:a16="http://schemas.microsoft.com/office/drawing/2014/main" id="{BF4BE3E7-70BB-4C2A-8405-E952DADE3219}"/>
                </a:ext>
              </a:extLst>
            </xdr:cNvPr>
            <xdr:cNvSpPr/>
          </xdr:nvSpPr>
          <xdr:spPr>
            <a:xfrm>
              <a:off x="2313215" y="1143000"/>
              <a:ext cx="2381250" cy="285750"/>
            </a:xfrm>
            <a:custGeom>
              <a:avLst/>
              <a:gdLst>
                <a:gd name="connsiteX0" fmla="*/ 0 w 2394857"/>
                <a:gd name="connsiteY0" fmla="*/ 292554 h 299358"/>
                <a:gd name="connsiteX1" fmla="*/ 1381125 w 2394857"/>
                <a:gd name="connsiteY1" fmla="*/ 299358 h 299358"/>
                <a:gd name="connsiteX2" fmla="*/ 1721303 w 2394857"/>
                <a:gd name="connsiteY2" fmla="*/ 0 h 299358"/>
                <a:gd name="connsiteX3" fmla="*/ 2394857 w 2394857"/>
                <a:gd name="connsiteY3" fmla="*/ 13608 h 299358"/>
                <a:gd name="connsiteX0" fmla="*/ 0 w 2388053"/>
                <a:gd name="connsiteY0" fmla="*/ 292554 h 299358"/>
                <a:gd name="connsiteX1" fmla="*/ 1381125 w 2388053"/>
                <a:gd name="connsiteY1" fmla="*/ 299358 h 299358"/>
                <a:gd name="connsiteX2" fmla="*/ 1721303 w 2388053"/>
                <a:gd name="connsiteY2" fmla="*/ 0 h 299358"/>
                <a:gd name="connsiteX3" fmla="*/ 2388053 w 2388053"/>
                <a:gd name="connsiteY3" fmla="*/ 6804 h 299358"/>
                <a:gd name="connsiteX0" fmla="*/ 0 w 2388053"/>
                <a:gd name="connsiteY0" fmla="*/ 285750 h 292554"/>
                <a:gd name="connsiteX1" fmla="*/ 1381125 w 2388053"/>
                <a:gd name="connsiteY1" fmla="*/ 292554 h 292554"/>
                <a:gd name="connsiteX2" fmla="*/ 1707696 w 2388053"/>
                <a:gd name="connsiteY2" fmla="*/ 0 h 292554"/>
                <a:gd name="connsiteX3" fmla="*/ 2388053 w 2388053"/>
                <a:gd name="connsiteY3" fmla="*/ 0 h 292554"/>
                <a:gd name="connsiteX0" fmla="*/ 0 w 2388053"/>
                <a:gd name="connsiteY0" fmla="*/ 285750 h 285750"/>
                <a:gd name="connsiteX1" fmla="*/ 1367518 w 2388053"/>
                <a:gd name="connsiteY1" fmla="*/ 285750 h 285750"/>
                <a:gd name="connsiteX2" fmla="*/ 1707696 w 2388053"/>
                <a:gd name="connsiteY2" fmla="*/ 0 h 285750"/>
                <a:gd name="connsiteX3" fmla="*/ 2388053 w 2388053"/>
                <a:gd name="connsiteY3" fmla="*/ 0 h 285750"/>
                <a:gd name="connsiteX0" fmla="*/ 0 w 2381250"/>
                <a:gd name="connsiteY0" fmla="*/ 285750 h 285750"/>
                <a:gd name="connsiteX1" fmla="*/ 1360715 w 2381250"/>
                <a:gd name="connsiteY1" fmla="*/ 285750 h 285750"/>
                <a:gd name="connsiteX2" fmla="*/ 1700893 w 2381250"/>
                <a:gd name="connsiteY2" fmla="*/ 0 h 285750"/>
                <a:gd name="connsiteX3" fmla="*/ 2381250 w 2381250"/>
                <a:gd name="connsiteY3" fmla="*/ 0 h 2857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381250" h="285750">
                  <a:moveTo>
                    <a:pt x="0" y="285750"/>
                  </a:moveTo>
                  <a:lnTo>
                    <a:pt x="1360715" y="285750"/>
                  </a:lnTo>
                  <a:lnTo>
                    <a:pt x="1700893" y="0"/>
                  </a:lnTo>
                  <a:lnTo>
                    <a:pt x="2381250" y="0"/>
                  </a:lnTo>
                </a:path>
              </a:pathLst>
            </a:custGeom>
            <a:noFill/>
            <a:ln w="19050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31" name="Straight Connector 30">
              <a:extLst>
                <a:ext uri="{FF2B5EF4-FFF2-40B4-BE49-F238E27FC236}">
                  <a16:creationId xmlns:a16="http://schemas.microsoft.com/office/drawing/2014/main" id="{ECC7F178-5410-4697-A1FF-7EEDCDE0880F}"/>
                </a:ext>
              </a:extLst>
            </xdr:cNvPr>
            <xdr:cNvCxnSpPr/>
          </xdr:nvCxnSpPr>
          <xdr:spPr>
            <a:xfrm>
              <a:off x="4014107" y="1428750"/>
              <a:ext cx="1700893" cy="0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A070F5B7-2A49-4F53-A5E2-959FC8AE1B7D}"/>
              </a:ext>
            </a:extLst>
          </xdr:cNvPr>
          <xdr:cNvSpPr/>
        </xdr:nvSpPr>
        <xdr:spPr>
          <a:xfrm>
            <a:off x="1084385" y="35249827"/>
            <a:ext cx="32238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200</a:t>
            </a:r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C2FCB1E2-EC3D-4704-A7E9-738A2DE02053}"/>
              </a:ext>
            </a:extLst>
          </xdr:cNvPr>
          <xdr:cNvSpPr/>
        </xdr:nvSpPr>
        <xdr:spPr>
          <a:xfrm>
            <a:off x="2066192" y="35257154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190</a:t>
            </a:r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F0A0E873-D686-4DF2-A771-2F1517D25803}"/>
              </a:ext>
            </a:extLst>
          </xdr:cNvPr>
          <xdr:cNvSpPr/>
        </xdr:nvSpPr>
        <xdr:spPr>
          <a:xfrm>
            <a:off x="1756996" y="34977266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70</a:t>
            </a:r>
            <a:endParaRPr lang="en-US" sz="10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49"/>
  <sheetViews>
    <sheetView topLeftCell="A10" zoomScale="120" zoomScaleNormal="120" zoomScaleSheetLayoutView="71" workbookViewId="0">
      <selection activeCell="B4" sqref="B4"/>
    </sheetView>
  </sheetViews>
  <sheetFormatPr defaultColWidth="9.109375" defaultRowHeight="14.4"/>
  <cols>
    <col min="1" max="1" width="9.109375" style="8"/>
    <col min="2" max="2" width="37.88671875" style="9" customWidth="1"/>
    <col min="3" max="16" width="5.109375" style="6" customWidth="1"/>
    <col min="17" max="16384" width="9.109375" style="6"/>
  </cols>
  <sheetData>
    <row r="1" spans="1:2" ht="21" customHeight="1">
      <c r="A1" s="5" t="s">
        <v>19</v>
      </c>
      <c r="B1" s="5" t="s">
        <v>20</v>
      </c>
    </row>
    <row r="2" spans="1:2" ht="66" customHeight="1">
      <c r="A2" s="7">
        <v>1</v>
      </c>
      <c r="B2" s="2"/>
    </row>
    <row r="3" spans="1:2" ht="66" customHeight="1">
      <c r="A3" s="7">
        <v>2</v>
      </c>
      <c r="B3" s="2"/>
    </row>
    <row r="4" spans="1:2" ht="66" customHeight="1">
      <c r="A4" s="7">
        <v>3</v>
      </c>
      <c r="B4" s="2"/>
    </row>
    <row r="5" spans="1:2" ht="66" customHeight="1">
      <c r="A5" s="7">
        <v>4</v>
      </c>
      <c r="B5" s="2"/>
    </row>
    <row r="6" spans="1:2" ht="66" customHeight="1">
      <c r="A6" s="7">
        <v>5</v>
      </c>
      <c r="B6" s="2"/>
    </row>
    <row r="7" spans="1:2" ht="66" customHeight="1">
      <c r="A7" s="7">
        <v>6</v>
      </c>
      <c r="B7" s="2"/>
    </row>
    <row r="8" spans="1:2" ht="78.75" customHeight="1">
      <c r="A8" s="7">
        <v>7</v>
      </c>
      <c r="B8" s="2"/>
    </row>
    <row r="9" spans="1:2" ht="66" customHeight="1">
      <c r="A9" s="7">
        <v>8</v>
      </c>
      <c r="B9" s="2"/>
    </row>
    <row r="10" spans="1:2" ht="66" customHeight="1">
      <c r="A10" s="7">
        <v>9</v>
      </c>
      <c r="B10" s="2"/>
    </row>
    <row r="11" spans="1:2" ht="66" customHeight="1">
      <c r="A11" s="7">
        <v>10</v>
      </c>
      <c r="B11" s="2"/>
    </row>
    <row r="12" spans="1:2" ht="66" customHeight="1">
      <c r="A12" s="7">
        <v>11</v>
      </c>
      <c r="B12" s="2"/>
    </row>
    <row r="13" spans="1:2" ht="66" customHeight="1">
      <c r="A13" s="7">
        <v>12</v>
      </c>
      <c r="B13" s="2"/>
    </row>
    <row r="14" spans="1:2" ht="66" customHeight="1">
      <c r="A14" s="7">
        <v>13</v>
      </c>
      <c r="B14" s="2"/>
    </row>
    <row r="15" spans="1:2" ht="66" customHeight="1">
      <c r="A15" s="7">
        <v>14</v>
      </c>
      <c r="B15" s="2"/>
    </row>
    <row r="16" spans="1:2" ht="66" customHeight="1">
      <c r="A16" s="7">
        <v>15</v>
      </c>
      <c r="B16" s="2"/>
    </row>
    <row r="17" spans="1:2" ht="66" customHeight="1">
      <c r="A17" s="7">
        <v>16</v>
      </c>
      <c r="B17" s="2"/>
    </row>
    <row r="18" spans="1:2" ht="66" customHeight="1">
      <c r="A18" s="7">
        <v>17</v>
      </c>
      <c r="B18" s="2"/>
    </row>
    <row r="19" spans="1:2" ht="66" customHeight="1">
      <c r="A19" s="7">
        <v>18</v>
      </c>
      <c r="B19" s="2"/>
    </row>
    <row r="20" spans="1:2" ht="66" customHeight="1">
      <c r="A20" s="7">
        <v>19</v>
      </c>
      <c r="B20" s="2"/>
    </row>
    <row r="21" spans="1:2" ht="66" customHeight="1">
      <c r="A21" s="7">
        <v>20</v>
      </c>
      <c r="B21" s="2"/>
    </row>
    <row r="22" spans="1:2" ht="66" customHeight="1">
      <c r="A22" s="7">
        <v>21</v>
      </c>
      <c r="B22" s="2"/>
    </row>
    <row r="23" spans="1:2" ht="66" customHeight="1">
      <c r="A23" s="7">
        <v>22</v>
      </c>
      <c r="B23" s="2"/>
    </row>
    <row r="24" spans="1:2" ht="66" customHeight="1">
      <c r="A24" s="7">
        <v>23</v>
      </c>
      <c r="B24" s="2"/>
    </row>
    <row r="25" spans="1:2" ht="66" customHeight="1">
      <c r="A25" s="7">
        <v>24</v>
      </c>
      <c r="B25" s="2"/>
    </row>
    <row r="26" spans="1:2" ht="66" customHeight="1">
      <c r="A26" s="7">
        <v>25</v>
      </c>
      <c r="B26" s="2"/>
    </row>
    <row r="27" spans="1:2" ht="66" customHeight="1">
      <c r="A27" s="7">
        <v>26</v>
      </c>
      <c r="B27" s="2"/>
    </row>
    <row r="28" spans="1:2" ht="66" customHeight="1">
      <c r="A28" s="7">
        <v>27</v>
      </c>
      <c r="B28" s="2"/>
    </row>
    <row r="29" spans="1:2" ht="66" customHeight="1">
      <c r="A29" s="7">
        <v>28</v>
      </c>
      <c r="B29" s="2"/>
    </row>
    <row r="30" spans="1:2" ht="66" customHeight="1">
      <c r="A30" s="7">
        <v>29</v>
      </c>
      <c r="B30" s="2"/>
    </row>
    <row r="31" spans="1:2" ht="66" customHeight="1">
      <c r="A31" s="7">
        <v>30</v>
      </c>
      <c r="B31" s="2"/>
    </row>
    <row r="32" spans="1:2" ht="66" customHeight="1">
      <c r="A32" s="7">
        <v>31</v>
      </c>
      <c r="B32" s="2"/>
    </row>
    <row r="33" spans="1:2" ht="66" customHeight="1">
      <c r="A33" s="7">
        <v>32</v>
      </c>
      <c r="B33" s="2"/>
    </row>
    <row r="34" spans="1:2" ht="66" customHeight="1">
      <c r="A34" s="7">
        <v>33</v>
      </c>
      <c r="B34" s="2"/>
    </row>
    <row r="35" spans="1:2" ht="66" customHeight="1">
      <c r="A35" s="7">
        <v>34</v>
      </c>
      <c r="B35" s="2"/>
    </row>
    <row r="36" spans="1:2" ht="66" customHeight="1">
      <c r="A36" s="7">
        <v>35</v>
      </c>
      <c r="B36" s="2"/>
    </row>
    <row r="37" spans="1:2" ht="66" customHeight="1">
      <c r="A37" s="7">
        <v>36</v>
      </c>
      <c r="B37" s="2"/>
    </row>
    <row r="38" spans="1:2" ht="66" customHeight="1">
      <c r="A38" s="7">
        <v>37</v>
      </c>
      <c r="B38" s="2"/>
    </row>
    <row r="39" spans="1:2" ht="66" customHeight="1">
      <c r="A39" s="7">
        <v>38</v>
      </c>
      <c r="B39" s="2"/>
    </row>
    <row r="40" spans="1:2" ht="66" customHeight="1">
      <c r="A40" s="7">
        <v>39</v>
      </c>
      <c r="B40" s="2"/>
    </row>
    <row r="41" spans="1:2" ht="66" customHeight="1">
      <c r="A41" s="7">
        <v>40</v>
      </c>
      <c r="B41" s="2"/>
    </row>
    <row r="42" spans="1:2" ht="66" customHeight="1">
      <c r="A42" s="7">
        <v>41</v>
      </c>
      <c r="B42" s="2"/>
    </row>
    <row r="43" spans="1:2" ht="66" customHeight="1">
      <c r="A43" s="7">
        <v>42</v>
      </c>
      <c r="B43" s="2"/>
    </row>
    <row r="44" spans="1:2" ht="22.5" customHeight="1"/>
    <row r="45" spans="1:2" ht="22.5" customHeight="1"/>
    <row r="46" spans="1:2" ht="22.5" customHeight="1"/>
    <row r="47" spans="1:2" ht="22.5" customHeight="1"/>
    <row r="48" spans="1:2" ht="22.5" customHeight="1"/>
    <row r="49" ht="22.5" customHeight="1"/>
  </sheetData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C000"/>
    <pageSetUpPr fitToPage="1"/>
  </sheetPr>
  <dimension ref="A1:R21"/>
  <sheetViews>
    <sheetView zoomScale="90" zoomScaleNormal="90" workbookViewId="0">
      <pane ySplit="3" topLeftCell="A4" activePane="bottomLeft" state="frozen"/>
      <selection pane="bottomLeft" sqref="A1:Q1"/>
    </sheetView>
  </sheetViews>
  <sheetFormatPr defaultColWidth="9.109375" defaultRowHeight="13.8"/>
  <cols>
    <col min="1" max="1" width="9.5546875" style="13" bestFit="1" customWidth="1"/>
    <col min="2" max="2" width="37.88671875" style="13" customWidth="1"/>
    <col min="3" max="5" width="9.5546875" style="13" customWidth="1"/>
    <col min="6" max="16" width="8.44140625" style="13" customWidth="1"/>
    <col min="17" max="17" width="21.44140625" style="13" customWidth="1"/>
    <col min="18" max="16384" width="9.109375" style="1"/>
  </cols>
  <sheetData>
    <row r="1" spans="1:18" ht="30.75" customHeight="1">
      <c r="A1" s="29" t="s">
        <v>27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15" t="s">
        <v>21</v>
      </c>
    </row>
    <row r="2" spans="1:18">
      <c r="A2" s="26" t="s">
        <v>0</v>
      </c>
      <c r="B2" s="30" t="s">
        <v>1</v>
      </c>
      <c r="C2" s="26" t="s">
        <v>2</v>
      </c>
      <c r="D2" s="10" t="s">
        <v>3</v>
      </c>
      <c r="E2" s="26" t="s">
        <v>4</v>
      </c>
      <c r="F2" s="32" t="s">
        <v>5</v>
      </c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28" t="s">
        <v>22</v>
      </c>
    </row>
    <row r="3" spans="1:18">
      <c r="A3" s="26"/>
      <c r="B3" s="31"/>
      <c r="C3" s="26"/>
      <c r="D3" s="10" t="str">
        <f>IF(R2="m","متر","سانتی‌متر")</f>
        <v>سانتی‌متر</v>
      </c>
      <c r="E3" s="26"/>
      <c r="F3" s="10" t="s">
        <v>6</v>
      </c>
      <c r="G3" s="10" t="s">
        <v>7</v>
      </c>
      <c r="H3" s="10" t="s">
        <v>8</v>
      </c>
      <c r="I3" s="10" t="s">
        <v>9</v>
      </c>
      <c r="J3" s="10" t="s">
        <v>10</v>
      </c>
      <c r="K3" s="10" t="s">
        <v>11</v>
      </c>
      <c r="L3" s="10" t="s">
        <v>12</v>
      </c>
      <c r="M3" s="10" t="s">
        <v>23</v>
      </c>
      <c r="N3" s="10" t="s">
        <v>13</v>
      </c>
      <c r="O3" s="10" t="s">
        <v>14</v>
      </c>
      <c r="P3" s="10" t="s">
        <v>15</v>
      </c>
      <c r="Q3" s="10" t="s">
        <v>16</v>
      </c>
      <c r="R3" s="28"/>
    </row>
    <row r="4" spans="1:18" ht="60.75" customHeight="1">
      <c r="A4" s="11">
        <f>ROW()-3</f>
        <v>1</v>
      </c>
      <c r="B4" s="12"/>
      <c r="C4" s="14">
        <v>12</v>
      </c>
      <c r="D4" s="14">
        <v>170</v>
      </c>
      <c r="E4" s="14">
        <v>3</v>
      </c>
      <c r="F4" s="11" t="str">
        <f>IF($C4=8,($D4*$E4),"")</f>
        <v/>
      </c>
      <c r="G4" s="11" t="str">
        <f>IF($C4=10,($D4*$E4),"")</f>
        <v/>
      </c>
      <c r="H4" s="11">
        <f>IF($C4=12,($D4*$E4),"")</f>
        <v>510</v>
      </c>
      <c r="I4" s="11" t="str">
        <f>IF($C4=14,($D4*$E4),"")</f>
        <v/>
      </c>
      <c r="J4" s="11" t="str">
        <f>IF($C4=16,($D4*$E4),"")</f>
        <v/>
      </c>
      <c r="K4" s="11" t="str">
        <f>IF($C4=18,($D4*$E4),"")</f>
        <v/>
      </c>
      <c r="L4" s="11" t="str">
        <f>IF($C4=20,($D4*$E4),"")</f>
        <v/>
      </c>
      <c r="M4" s="11" t="str">
        <f t="shared" ref="M4:M11" si="0">IF($C4=22,($D4*$E4),"")</f>
        <v/>
      </c>
      <c r="N4" s="11" t="str">
        <f>IF($C4=25,($D4*$E4),"")</f>
        <v/>
      </c>
      <c r="O4" s="11" t="str">
        <f>IF($C4=28,($D4*$E4),"")</f>
        <v/>
      </c>
      <c r="P4" s="11" t="str">
        <f t="shared" ref="P4:P11" si="1">IF($C4=32,($D4*$E4),"")</f>
        <v/>
      </c>
      <c r="Q4" s="11"/>
    </row>
    <row r="5" spans="1:18" ht="60.75" customHeight="1">
      <c r="A5" s="11">
        <f t="shared" ref="A5:A11" si="2">ROW()-3</f>
        <v>2</v>
      </c>
      <c r="B5" s="11"/>
      <c r="C5" s="14">
        <v>12</v>
      </c>
      <c r="D5" s="14">
        <f>20+30+100+30</f>
        <v>180</v>
      </c>
      <c r="E5" s="14">
        <v>5</v>
      </c>
      <c r="F5" s="11" t="str">
        <f t="shared" ref="F5" si="3">IF($C5=8,($D5*$E5),"")</f>
        <v/>
      </c>
      <c r="G5" s="11" t="str">
        <f t="shared" ref="G5:G11" si="4">IF($C5=10,($D5*$E5),"")</f>
        <v/>
      </c>
      <c r="H5" s="11">
        <f t="shared" ref="H5:H11" si="5">IF($C5=12,($D5*$E5),"")</f>
        <v>900</v>
      </c>
      <c r="I5" s="11" t="str">
        <f t="shared" ref="I5:I11" si="6">IF($C5=14,($D5*$E5),"")</f>
        <v/>
      </c>
      <c r="J5" s="11" t="str">
        <f t="shared" ref="J5:J11" si="7">IF($C5=16,($D5*$E5),"")</f>
        <v/>
      </c>
      <c r="K5" s="11" t="str">
        <f t="shared" ref="K5:K11" si="8">IF($C5=18,($D5*$E5),"")</f>
        <v/>
      </c>
      <c r="L5" s="11" t="str">
        <f t="shared" ref="L5:L11" si="9">IF($C5=20,($D5*$E5),"")</f>
        <v/>
      </c>
      <c r="M5" s="11" t="str">
        <f t="shared" si="0"/>
        <v/>
      </c>
      <c r="N5" s="11" t="str">
        <f t="shared" ref="N5:N11" si="10">IF($C5=25,($D5*$E5),"")</f>
        <v/>
      </c>
      <c r="O5" s="11" t="str">
        <f t="shared" ref="O5:O11" si="11">IF($C5=28,($D5*$E5),"")</f>
        <v/>
      </c>
      <c r="P5" s="11" t="str">
        <f t="shared" si="1"/>
        <v/>
      </c>
      <c r="Q5" s="11"/>
    </row>
    <row r="6" spans="1:18" ht="81.75" customHeight="1">
      <c r="A6" s="11">
        <f t="shared" si="2"/>
        <v>3</v>
      </c>
      <c r="B6" s="2"/>
      <c r="C6" s="14">
        <v>14</v>
      </c>
      <c r="D6" s="14">
        <v>230</v>
      </c>
      <c r="E6" s="14">
        <v>10</v>
      </c>
      <c r="F6" s="11" t="str">
        <f>IF($C6=8,($D6*$E6),"")</f>
        <v/>
      </c>
      <c r="G6" s="11" t="str">
        <f t="shared" si="4"/>
        <v/>
      </c>
      <c r="H6" s="11" t="str">
        <f t="shared" si="5"/>
        <v/>
      </c>
      <c r="I6" s="11">
        <f t="shared" si="6"/>
        <v>2300</v>
      </c>
      <c r="J6" s="11" t="str">
        <f t="shared" si="7"/>
        <v/>
      </c>
      <c r="K6" s="11" t="str">
        <f t="shared" si="8"/>
        <v/>
      </c>
      <c r="L6" s="11" t="str">
        <f t="shared" si="9"/>
        <v/>
      </c>
      <c r="M6" s="11" t="str">
        <f t="shared" si="0"/>
        <v/>
      </c>
      <c r="N6" s="11" t="str">
        <f t="shared" si="10"/>
        <v/>
      </c>
      <c r="O6" s="11" t="str">
        <f t="shared" si="11"/>
        <v/>
      </c>
      <c r="P6" s="11" t="str">
        <f t="shared" si="1"/>
        <v/>
      </c>
      <c r="Q6" s="11"/>
    </row>
    <row r="7" spans="1:18" ht="81.75" customHeight="1">
      <c r="A7" s="11">
        <f t="shared" si="2"/>
        <v>4</v>
      </c>
      <c r="B7" s="2"/>
      <c r="C7" s="14"/>
      <c r="D7" s="14"/>
      <c r="E7" s="14"/>
      <c r="F7" s="11" t="str">
        <f t="shared" ref="F7:F11" si="12">IF($C7=8,($D7*$E7),"")</f>
        <v/>
      </c>
      <c r="G7" s="11" t="str">
        <f t="shared" si="4"/>
        <v/>
      </c>
      <c r="H7" s="11" t="str">
        <f t="shared" si="5"/>
        <v/>
      </c>
      <c r="I7" s="11" t="str">
        <f t="shared" si="6"/>
        <v/>
      </c>
      <c r="J7" s="11" t="str">
        <f t="shared" si="7"/>
        <v/>
      </c>
      <c r="K7" s="11" t="str">
        <f t="shared" si="8"/>
        <v/>
      </c>
      <c r="L7" s="11" t="str">
        <f t="shared" si="9"/>
        <v/>
      </c>
      <c r="M7" s="11" t="str">
        <f t="shared" si="0"/>
        <v/>
      </c>
      <c r="N7" s="11" t="str">
        <f t="shared" si="10"/>
        <v/>
      </c>
      <c r="O7" s="11" t="str">
        <f t="shared" si="11"/>
        <v/>
      </c>
      <c r="P7" s="11" t="str">
        <f t="shared" si="1"/>
        <v/>
      </c>
      <c r="Q7" s="11"/>
    </row>
    <row r="8" spans="1:18" ht="81.75" customHeight="1">
      <c r="A8" s="11">
        <f t="shared" si="2"/>
        <v>5</v>
      </c>
      <c r="B8" s="2"/>
      <c r="C8" s="14"/>
      <c r="D8" s="14"/>
      <c r="E8" s="14"/>
      <c r="F8" s="11" t="str">
        <f t="shared" si="12"/>
        <v/>
      </c>
      <c r="G8" s="11" t="str">
        <f t="shared" si="4"/>
        <v/>
      </c>
      <c r="H8" s="11" t="str">
        <f t="shared" si="5"/>
        <v/>
      </c>
      <c r="I8" s="11" t="str">
        <f t="shared" si="6"/>
        <v/>
      </c>
      <c r="J8" s="11" t="str">
        <f t="shared" si="7"/>
        <v/>
      </c>
      <c r="K8" s="11" t="str">
        <f t="shared" si="8"/>
        <v/>
      </c>
      <c r="L8" s="11" t="str">
        <f t="shared" si="9"/>
        <v/>
      </c>
      <c r="M8" s="11" t="str">
        <f t="shared" si="0"/>
        <v/>
      </c>
      <c r="N8" s="11" t="str">
        <f t="shared" si="10"/>
        <v/>
      </c>
      <c r="O8" s="11" t="str">
        <f t="shared" si="11"/>
        <v/>
      </c>
      <c r="P8" s="11" t="str">
        <f t="shared" si="1"/>
        <v/>
      </c>
      <c r="Q8" s="11"/>
    </row>
    <row r="9" spans="1:18" ht="81.75" customHeight="1">
      <c r="A9" s="11">
        <f t="shared" si="2"/>
        <v>6</v>
      </c>
      <c r="B9" s="2"/>
      <c r="C9" s="14"/>
      <c r="D9" s="14"/>
      <c r="E9" s="14"/>
      <c r="F9" s="11" t="str">
        <f t="shared" si="12"/>
        <v/>
      </c>
      <c r="G9" s="11" t="str">
        <f t="shared" si="4"/>
        <v/>
      </c>
      <c r="H9" s="11" t="str">
        <f t="shared" si="5"/>
        <v/>
      </c>
      <c r="I9" s="11" t="str">
        <f t="shared" si="6"/>
        <v/>
      </c>
      <c r="J9" s="11" t="str">
        <f t="shared" si="7"/>
        <v/>
      </c>
      <c r="K9" s="11" t="str">
        <f t="shared" si="8"/>
        <v/>
      </c>
      <c r="L9" s="11" t="str">
        <f t="shared" si="9"/>
        <v/>
      </c>
      <c r="M9" s="11" t="str">
        <f t="shared" si="0"/>
        <v/>
      </c>
      <c r="N9" s="11" t="str">
        <f t="shared" si="10"/>
        <v/>
      </c>
      <c r="O9" s="11" t="str">
        <f t="shared" si="11"/>
        <v/>
      </c>
      <c r="P9" s="11" t="str">
        <f t="shared" si="1"/>
        <v/>
      </c>
      <c r="Q9" s="11"/>
    </row>
    <row r="10" spans="1:18" ht="66" customHeight="1">
      <c r="A10" s="11">
        <f t="shared" si="2"/>
        <v>7</v>
      </c>
      <c r="B10" s="2"/>
      <c r="C10" s="14"/>
      <c r="D10" s="14"/>
      <c r="E10" s="14"/>
      <c r="F10" s="11" t="str">
        <f t="shared" si="12"/>
        <v/>
      </c>
      <c r="G10" s="11" t="str">
        <f t="shared" si="4"/>
        <v/>
      </c>
      <c r="H10" s="11" t="str">
        <f t="shared" si="5"/>
        <v/>
      </c>
      <c r="I10" s="11" t="str">
        <f t="shared" si="6"/>
        <v/>
      </c>
      <c r="J10" s="11" t="str">
        <f t="shared" si="7"/>
        <v/>
      </c>
      <c r="K10" s="11" t="str">
        <f t="shared" si="8"/>
        <v/>
      </c>
      <c r="L10" s="11" t="str">
        <f t="shared" si="9"/>
        <v/>
      </c>
      <c r="M10" s="11" t="str">
        <f t="shared" si="0"/>
        <v/>
      </c>
      <c r="N10" s="11" t="str">
        <f t="shared" si="10"/>
        <v/>
      </c>
      <c r="O10" s="11" t="str">
        <f t="shared" si="11"/>
        <v/>
      </c>
      <c r="P10" s="11" t="str">
        <f t="shared" si="1"/>
        <v/>
      </c>
      <c r="Q10" s="11"/>
    </row>
    <row r="11" spans="1:18" ht="66" customHeight="1">
      <c r="A11" s="11">
        <f t="shared" si="2"/>
        <v>8</v>
      </c>
      <c r="B11" s="2"/>
      <c r="C11" s="14"/>
      <c r="D11" s="14"/>
      <c r="E11" s="14"/>
      <c r="F11" s="11" t="str">
        <f t="shared" si="12"/>
        <v/>
      </c>
      <c r="G11" s="11" t="str">
        <f t="shared" si="4"/>
        <v/>
      </c>
      <c r="H11" s="11" t="str">
        <f t="shared" si="5"/>
        <v/>
      </c>
      <c r="I11" s="11" t="str">
        <f t="shared" si="6"/>
        <v/>
      </c>
      <c r="J11" s="11" t="str">
        <f t="shared" si="7"/>
        <v/>
      </c>
      <c r="K11" s="11" t="str">
        <f t="shared" si="8"/>
        <v/>
      </c>
      <c r="L11" s="11" t="str">
        <f t="shared" si="9"/>
        <v/>
      </c>
      <c r="M11" s="11" t="str">
        <f t="shared" si="0"/>
        <v/>
      </c>
      <c r="N11" s="11" t="str">
        <f t="shared" si="10"/>
        <v/>
      </c>
      <c r="O11" s="11" t="str">
        <f t="shared" si="11"/>
        <v/>
      </c>
      <c r="P11" s="11" t="str">
        <f t="shared" si="1"/>
        <v/>
      </c>
      <c r="Q11" s="11"/>
    </row>
    <row r="12" spans="1:18" ht="24.75" customHeight="1">
      <c r="A12" s="26" t="str">
        <f>IF(R2="m","جمع طول آرماتورها (متر)","جمع طول آرماتورها (سانتی‌متر)")</f>
        <v>جمع طول آرماتورها (سانتی‌متر)</v>
      </c>
      <c r="B12" s="26"/>
      <c r="C12" s="26"/>
      <c r="D12" s="26"/>
      <c r="E12" s="26"/>
      <c r="F12" s="3">
        <f t="shared" ref="F12:P12" si="13">SUM(F4:F11)</f>
        <v>0</v>
      </c>
      <c r="G12" s="3">
        <f t="shared" si="13"/>
        <v>0</v>
      </c>
      <c r="H12" s="3">
        <f t="shared" si="13"/>
        <v>1410</v>
      </c>
      <c r="I12" s="3">
        <f t="shared" si="13"/>
        <v>2300</v>
      </c>
      <c r="J12" s="3">
        <f t="shared" si="13"/>
        <v>0</v>
      </c>
      <c r="K12" s="3">
        <f t="shared" si="13"/>
        <v>0</v>
      </c>
      <c r="L12" s="3">
        <f t="shared" si="13"/>
        <v>0</v>
      </c>
      <c r="M12" s="3">
        <f t="shared" si="13"/>
        <v>0</v>
      </c>
      <c r="N12" s="3">
        <f t="shared" si="13"/>
        <v>0</v>
      </c>
      <c r="O12" s="3">
        <f t="shared" si="13"/>
        <v>0</v>
      </c>
      <c r="P12" s="3">
        <f t="shared" si="13"/>
        <v>0</v>
      </c>
      <c r="Q12" s="4"/>
    </row>
    <row r="13" spans="1:18" ht="24.75" customHeight="1">
      <c r="A13" s="26" t="str">
        <f>IF(R2="m","وزن هر متر (kg/m)","وزن هر سانتی‌متر (kg/cm)")</f>
        <v>وزن هر سانتی‌متر (kg/cm)</v>
      </c>
      <c r="B13" s="26"/>
      <c r="C13" s="26"/>
      <c r="D13" s="26"/>
      <c r="E13" s="26"/>
      <c r="F13" s="3">
        <f>IF($R$2="m",0.395,0.00395)</f>
        <v>3.9500000000000004E-3</v>
      </c>
      <c r="G13" s="3">
        <f>IF($R$2="m",0.617,0.00617)</f>
        <v>6.1700000000000001E-3</v>
      </c>
      <c r="H13" s="3">
        <f>IF($R$2="m",0.888,0.00888)</f>
        <v>8.8800000000000007E-3</v>
      </c>
      <c r="I13" s="3">
        <f>IF($R$2="m",1.21,0.0121)</f>
        <v>1.21E-2</v>
      </c>
      <c r="J13" s="3">
        <f>IF($R$2="m",1.58,0.0158)</f>
        <v>1.5800000000000002E-2</v>
      </c>
      <c r="K13" s="3">
        <f>IF($R$2="m",2,0.02)</f>
        <v>0.02</v>
      </c>
      <c r="L13" s="3">
        <f>IF($R$2="m",2.47,0.0247)</f>
        <v>2.47E-2</v>
      </c>
      <c r="M13" s="3">
        <f>IF($R$2="m",2.98,0.0298)</f>
        <v>2.98E-2</v>
      </c>
      <c r="N13" s="3">
        <f>IF($R$2="m",3.85,0.0385)</f>
        <v>3.85E-2</v>
      </c>
      <c r="O13" s="3">
        <f>IF($R$2="m",4.83,0.0483)</f>
        <v>4.8300000000000003E-2</v>
      </c>
      <c r="P13" s="3">
        <f>IF($R$2="m",6.31,0.0631)</f>
        <v>6.3100000000000003E-2</v>
      </c>
      <c r="Q13" s="4"/>
    </row>
    <row r="14" spans="1:18" ht="24.75" customHeight="1">
      <c r="A14" s="26" t="s">
        <v>17</v>
      </c>
      <c r="B14" s="26"/>
      <c r="C14" s="26"/>
      <c r="D14" s="26"/>
      <c r="E14" s="26"/>
      <c r="F14" s="3">
        <f>F12*F13</f>
        <v>0</v>
      </c>
      <c r="G14" s="3">
        <f t="shared" ref="G14:P14" si="14">G12*G13</f>
        <v>0</v>
      </c>
      <c r="H14" s="3">
        <f t="shared" si="14"/>
        <v>12.520800000000001</v>
      </c>
      <c r="I14" s="3">
        <f t="shared" si="14"/>
        <v>27.83</v>
      </c>
      <c r="J14" s="3">
        <f t="shared" si="14"/>
        <v>0</v>
      </c>
      <c r="K14" s="3">
        <f t="shared" si="14"/>
        <v>0</v>
      </c>
      <c r="L14" s="3">
        <f>L12*L13</f>
        <v>0</v>
      </c>
      <c r="M14" s="3">
        <f>M12*M13</f>
        <v>0</v>
      </c>
      <c r="N14" s="3">
        <f t="shared" si="14"/>
        <v>0</v>
      </c>
      <c r="O14" s="3">
        <f t="shared" si="14"/>
        <v>0</v>
      </c>
      <c r="P14" s="3">
        <f t="shared" si="14"/>
        <v>0</v>
      </c>
      <c r="Q14" s="4"/>
    </row>
    <row r="15" spans="1:18" ht="24.75" customHeight="1">
      <c r="A15" s="26" t="s">
        <v>18</v>
      </c>
      <c r="B15" s="26"/>
      <c r="C15" s="26"/>
      <c r="D15" s="26"/>
      <c r="E15" s="26"/>
      <c r="F15" s="27" t="str">
        <f>ROUND(SUM(F14:P14)/1000,3)&amp;" تن"</f>
        <v>0.04 تن</v>
      </c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4"/>
    </row>
    <row r="16" spans="1:18" ht="40.5" customHeight="1"/>
    <row r="17" ht="40.5" customHeight="1"/>
    <row r="18" ht="40.5" customHeight="1"/>
    <row r="19" ht="40.5" customHeight="1"/>
    <row r="20" ht="40.5" customHeight="1"/>
    <row r="21" ht="40.5" customHeight="1"/>
  </sheetData>
  <mergeCells count="12">
    <mergeCell ref="R2:R3"/>
    <mergeCell ref="A1:Q1"/>
    <mergeCell ref="A2:A3"/>
    <mergeCell ref="B2:B3"/>
    <mergeCell ref="C2:C3"/>
    <mergeCell ref="E2:E3"/>
    <mergeCell ref="F2:Q2"/>
    <mergeCell ref="A12:E12"/>
    <mergeCell ref="A13:E13"/>
    <mergeCell ref="A14:E14"/>
    <mergeCell ref="A15:E15"/>
    <mergeCell ref="F15:P15"/>
  </mergeCells>
  <dataValidations count="1">
    <dataValidation type="list" allowBlank="1" showInputMessage="1" showErrorMessage="1" sqref="R2:R3" xr:uid="{00000000-0002-0000-0000-000000000000}">
      <formula1>"m,cm"</formula1>
    </dataValidation>
  </dataValidations>
  <pageMargins left="0.51181102362204722" right="0.51181102362204722" top="0.74803149606299213" bottom="0.74803149606299213" header="0.31496062992125984" footer="0.31496062992125984"/>
  <pageSetup paperSize="9" scale="69" fitToHeight="0" orientation="landscape" verticalDpi="0" r:id="rId1"/>
  <colBreaks count="1" manualBreakCount="1">
    <brk id="6" max="34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C363F-749F-4F4B-836B-A0933A948C1C}">
  <sheetPr codeName="Sheet4">
    <tabColor rgb="FFFFC000"/>
    <pageSetUpPr fitToPage="1"/>
  </sheetPr>
  <dimension ref="A1:R21"/>
  <sheetViews>
    <sheetView zoomScale="90" zoomScaleNormal="90" workbookViewId="0">
      <pane ySplit="3" topLeftCell="A4" activePane="bottomLeft" state="frozen"/>
      <selection pane="bottomLeft" activeCell="A2" sqref="A2:A3"/>
    </sheetView>
  </sheetViews>
  <sheetFormatPr defaultColWidth="9.109375" defaultRowHeight="13.8"/>
  <cols>
    <col min="1" max="1" width="9.5546875" style="13" bestFit="1" customWidth="1"/>
    <col min="2" max="2" width="37.88671875" style="13" customWidth="1"/>
    <col min="3" max="5" width="9.5546875" style="13" customWidth="1"/>
    <col min="6" max="16" width="8.44140625" style="13" customWidth="1"/>
    <col min="17" max="17" width="21.44140625" style="25" customWidth="1"/>
    <col min="18" max="16384" width="9.109375" style="1"/>
  </cols>
  <sheetData>
    <row r="1" spans="1:18" ht="30.75" customHeight="1">
      <c r="A1" s="29" t="s">
        <v>28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17" t="s">
        <v>21</v>
      </c>
    </row>
    <row r="2" spans="1:18">
      <c r="A2" s="26" t="s">
        <v>0</v>
      </c>
      <c r="B2" s="30" t="s">
        <v>1</v>
      </c>
      <c r="C2" s="26" t="s">
        <v>2</v>
      </c>
      <c r="D2" s="18" t="s">
        <v>3</v>
      </c>
      <c r="E2" s="26" t="s">
        <v>4</v>
      </c>
      <c r="F2" s="32" t="s">
        <v>5</v>
      </c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28" t="s">
        <v>22</v>
      </c>
    </row>
    <row r="3" spans="1:18">
      <c r="A3" s="26"/>
      <c r="B3" s="31"/>
      <c r="C3" s="26"/>
      <c r="D3" s="18" t="str">
        <f>IF(R2="m","متر","سانتی‌متر")</f>
        <v>سانتی‌متر</v>
      </c>
      <c r="E3" s="26"/>
      <c r="F3" s="18" t="s">
        <v>6</v>
      </c>
      <c r="G3" s="18" t="s">
        <v>7</v>
      </c>
      <c r="H3" s="18" t="s">
        <v>8</v>
      </c>
      <c r="I3" s="18" t="s">
        <v>9</v>
      </c>
      <c r="J3" s="18" t="s">
        <v>10</v>
      </c>
      <c r="K3" s="18" t="s">
        <v>11</v>
      </c>
      <c r="L3" s="18" t="s">
        <v>12</v>
      </c>
      <c r="M3" s="18" t="s">
        <v>23</v>
      </c>
      <c r="N3" s="18" t="s">
        <v>13</v>
      </c>
      <c r="O3" s="18" t="s">
        <v>14</v>
      </c>
      <c r="P3" s="18" t="s">
        <v>15</v>
      </c>
      <c r="Q3" s="22" t="s">
        <v>16</v>
      </c>
      <c r="R3" s="28"/>
    </row>
    <row r="4" spans="1:18" ht="60.75" customHeight="1">
      <c r="A4" s="11">
        <f>ROW()-3</f>
        <v>1</v>
      </c>
      <c r="B4" s="12"/>
      <c r="C4" s="14">
        <v>16</v>
      </c>
      <c r="D4" s="14">
        <v>965</v>
      </c>
      <c r="E4" s="14">
        <v>36</v>
      </c>
      <c r="F4" s="11" t="str">
        <f>IF($C4=8,($D4*$E4),"")</f>
        <v/>
      </c>
      <c r="G4" s="11" t="str">
        <f>IF($C4=10,($D4*$E4),"")</f>
        <v/>
      </c>
      <c r="H4" s="11" t="str">
        <f>IF($C4=12,($D4*$E4),"")</f>
        <v/>
      </c>
      <c r="I4" s="11" t="str">
        <f>IF($C4=14,($D4*$E4),"")</f>
        <v/>
      </c>
      <c r="J4" s="11">
        <f>IF($C4=16,($D4*$E4),"")</f>
        <v>34740</v>
      </c>
      <c r="K4" s="11" t="str">
        <f>IF($C4=18,($D4*$E4),"")</f>
        <v/>
      </c>
      <c r="L4" s="11" t="str">
        <f>IF($C4=20,($D4*$E4),"")</f>
        <v/>
      </c>
      <c r="M4" s="11" t="str">
        <f t="shared" ref="M4:M11" si="0">IF($C4=22,($D4*$E4),"")</f>
        <v/>
      </c>
      <c r="N4" s="11" t="str">
        <f>IF($C4=25,($D4*$E4),"")</f>
        <v/>
      </c>
      <c r="O4" s="11" t="str">
        <f>IF($C4=28,($D4*$E4),"")</f>
        <v/>
      </c>
      <c r="P4" s="11" t="str">
        <f t="shared" ref="P4:P11" si="1">IF($C4=32,($D4*$E4),"")</f>
        <v/>
      </c>
      <c r="Q4" s="23" t="s">
        <v>24</v>
      </c>
    </row>
    <row r="5" spans="1:18" ht="60.75" customHeight="1">
      <c r="A5" s="11">
        <f t="shared" ref="A5:A11" si="2">ROW()-3</f>
        <v>2</v>
      </c>
      <c r="B5" s="11"/>
      <c r="C5" s="14">
        <v>16</v>
      </c>
      <c r="D5" s="14">
        <v>815</v>
      </c>
      <c r="E5" s="14">
        <v>36</v>
      </c>
      <c r="F5" s="11" t="str">
        <f t="shared" ref="F5" si="3">IF($C5=8,($D5*$E5),"")</f>
        <v/>
      </c>
      <c r="G5" s="11" t="str">
        <f t="shared" ref="G5:G11" si="4">IF($C5=10,($D5*$E5),"")</f>
        <v/>
      </c>
      <c r="H5" s="11" t="str">
        <f t="shared" ref="H5:H11" si="5">IF($C5=12,($D5*$E5),"")</f>
        <v/>
      </c>
      <c r="I5" s="11" t="str">
        <f t="shared" ref="I5:I11" si="6">IF($C5=14,($D5*$E5),"")</f>
        <v/>
      </c>
      <c r="J5" s="11">
        <f t="shared" ref="J5:J11" si="7">IF($C5=16,($D5*$E5),"")</f>
        <v>29340</v>
      </c>
      <c r="K5" s="11" t="str">
        <f t="shared" ref="K5:K11" si="8">IF($C5=18,($D5*$E5),"")</f>
        <v/>
      </c>
      <c r="L5" s="11" t="str">
        <f t="shared" ref="L5:L11" si="9">IF($C5=20,($D5*$E5),"")</f>
        <v/>
      </c>
      <c r="M5" s="11" t="str">
        <f t="shared" si="0"/>
        <v/>
      </c>
      <c r="N5" s="11" t="str">
        <f t="shared" ref="N5:N11" si="10">IF($C5=25,($D5*$E5),"")</f>
        <v/>
      </c>
      <c r="O5" s="11" t="str">
        <f t="shared" ref="O5:O11" si="11">IF($C5=28,($D5*$E5),"")</f>
        <v/>
      </c>
      <c r="P5" s="11" t="str">
        <f t="shared" si="1"/>
        <v/>
      </c>
      <c r="Q5" s="23" t="s">
        <v>25</v>
      </c>
    </row>
    <row r="6" spans="1:18" ht="81.75" customHeight="1">
      <c r="A6" s="11">
        <f t="shared" si="2"/>
        <v>3</v>
      </c>
      <c r="B6" s="2"/>
      <c r="C6" s="14">
        <v>14</v>
      </c>
      <c r="D6" s="14">
        <v>85</v>
      </c>
      <c r="E6" s="14">
        <v>424</v>
      </c>
      <c r="F6" s="11" t="str">
        <f>IF($C6=8,($D6*$E6),"")</f>
        <v/>
      </c>
      <c r="G6" s="11" t="str">
        <f t="shared" si="4"/>
        <v/>
      </c>
      <c r="H6" s="11" t="str">
        <f t="shared" si="5"/>
        <v/>
      </c>
      <c r="I6" s="11">
        <f t="shared" si="6"/>
        <v>36040</v>
      </c>
      <c r="J6" s="11" t="str">
        <f t="shared" si="7"/>
        <v/>
      </c>
      <c r="K6" s="11" t="str">
        <f t="shared" si="8"/>
        <v/>
      </c>
      <c r="L6" s="11" t="str">
        <f t="shared" si="9"/>
        <v/>
      </c>
      <c r="M6" s="11" t="str">
        <f t="shared" si="0"/>
        <v/>
      </c>
      <c r="N6" s="11" t="str">
        <f t="shared" si="10"/>
        <v/>
      </c>
      <c r="O6" s="11" t="str">
        <f t="shared" si="11"/>
        <v/>
      </c>
      <c r="P6" s="11" t="str">
        <f t="shared" si="1"/>
        <v/>
      </c>
      <c r="Q6" s="23" t="s">
        <v>26</v>
      </c>
    </row>
    <row r="7" spans="1:18" ht="81.75" customHeight="1">
      <c r="A7" s="11">
        <f t="shared" si="2"/>
        <v>4</v>
      </c>
      <c r="B7" s="2"/>
      <c r="C7" s="14">
        <v>16</v>
      </c>
      <c r="D7" s="14">
        <v>170</v>
      </c>
      <c r="E7" s="14">
        <v>27</v>
      </c>
      <c r="F7" s="11" t="str">
        <f t="shared" ref="F7:F11" si="12">IF($C7=8,($D7*$E7),"")</f>
        <v/>
      </c>
      <c r="G7" s="11" t="str">
        <f t="shared" si="4"/>
        <v/>
      </c>
      <c r="H7" s="11" t="str">
        <f t="shared" si="5"/>
        <v/>
      </c>
      <c r="I7" s="11" t="str">
        <f t="shared" si="6"/>
        <v/>
      </c>
      <c r="J7" s="11">
        <f t="shared" si="7"/>
        <v>4590</v>
      </c>
      <c r="K7" s="11" t="str">
        <f t="shared" si="8"/>
        <v/>
      </c>
      <c r="L7" s="11" t="str">
        <f t="shared" si="9"/>
        <v/>
      </c>
      <c r="M7" s="11" t="str">
        <f t="shared" si="0"/>
        <v/>
      </c>
      <c r="N7" s="11" t="str">
        <f t="shared" si="10"/>
        <v/>
      </c>
      <c r="O7" s="11" t="str">
        <f t="shared" si="11"/>
        <v/>
      </c>
      <c r="P7" s="11" t="str">
        <f t="shared" si="1"/>
        <v/>
      </c>
      <c r="Q7" s="23"/>
    </row>
    <row r="8" spans="1:18" ht="81.75" customHeight="1">
      <c r="A8" s="11">
        <f t="shared" si="2"/>
        <v>5</v>
      </c>
      <c r="B8" s="2"/>
      <c r="C8" s="14"/>
      <c r="D8" s="14"/>
      <c r="E8" s="14"/>
      <c r="F8" s="11" t="str">
        <f t="shared" si="12"/>
        <v/>
      </c>
      <c r="G8" s="11" t="str">
        <f t="shared" si="4"/>
        <v/>
      </c>
      <c r="H8" s="11" t="str">
        <f t="shared" si="5"/>
        <v/>
      </c>
      <c r="I8" s="11" t="str">
        <f t="shared" si="6"/>
        <v/>
      </c>
      <c r="J8" s="11" t="str">
        <f t="shared" si="7"/>
        <v/>
      </c>
      <c r="K8" s="11" t="str">
        <f t="shared" si="8"/>
        <v/>
      </c>
      <c r="L8" s="11" t="str">
        <f t="shared" si="9"/>
        <v/>
      </c>
      <c r="M8" s="11" t="str">
        <f t="shared" si="0"/>
        <v/>
      </c>
      <c r="N8" s="11" t="str">
        <f t="shared" si="10"/>
        <v/>
      </c>
      <c r="O8" s="11" t="str">
        <f t="shared" si="11"/>
        <v/>
      </c>
      <c r="P8" s="11" t="str">
        <f t="shared" si="1"/>
        <v/>
      </c>
      <c r="Q8" s="23"/>
    </row>
    <row r="9" spans="1:18" ht="81.75" customHeight="1">
      <c r="A9" s="11">
        <f t="shared" si="2"/>
        <v>6</v>
      </c>
      <c r="B9" s="2"/>
      <c r="C9" s="14"/>
      <c r="D9" s="14"/>
      <c r="E9" s="14"/>
      <c r="F9" s="11" t="str">
        <f t="shared" si="12"/>
        <v/>
      </c>
      <c r="G9" s="11" t="str">
        <f t="shared" si="4"/>
        <v/>
      </c>
      <c r="H9" s="11" t="str">
        <f t="shared" si="5"/>
        <v/>
      </c>
      <c r="I9" s="11" t="str">
        <f t="shared" si="6"/>
        <v/>
      </c>
      <c r="J9" s="11" t="str">
        <f t="shared" si="7"/>
        <v/>
      </c>
      <c r="K9" s="11" t="str">
        <f t="shared" si="8"/>
        <v/>
      </c>
      <c r="L9" s="11" t="str">
        <f t="shared" si="9"/>
        <v/>
      </c>
      <c r="M9" s="11" t="str">
        <f t="shared" si="0"/>
        <v/>
      </c>
      <c r="N9" s="11" t="str">
        <f t="shared" si="10"/>
        <v/>
      </c>
      <c r="O9" s="11" t="str">
        <f t="shared" si="11"/>
        <v/>
      </c>
      <c r="P9" s="11" t="str">
        <f t="shared" si="1"/>
        <v/>
      </c>
      <c r="Q9" s="23"/>
    </row>
    <row r="10" spans="1:18" ht="66" customHeight="1">
      <c r="A10" s="11">
        <f t="shared" si="2"/>
        <v>7</v>
      </c>
      <c r="B10" s="2"/>
      <c r="C10" s="14"/>
      <c r="D10" s="14"/>
      <c r="E10" s="14"/>
      <c r="F10" s="11" t="str">
        <f t="shared" si="12"/>
        <v/>
      </c>
      <c r="G10" s="11" t="str">
        <f t="shared" si="4"/>
        <v/>
      </c>
      <c r="H10" s="11" t="str">
        <f t="shared" si="5"/>
        <v/>
      </c>
      <c r="I10" s="11" t="str">
        <f t="shared" si="6"/>
        <v/>
      </c>
      <c r="J10" s="11" t="str">
        <f t="shared" si="7"/>
        <v/>
      </c>
      <c r="K10" s="11" t="str">
        <f t="shared" si="8"/>
        <v/>
      </c>
      <c r="L10" s="11" t="str">
        <f t="shared" si="9"/>
        <v/>
      </c>
      <c r="M10" s="11" t="str">
        <f t="shared" si="0"/>
        <v/>
      </c>
      <c r="N10" s="11" t="str">
        <f t="shared" si="10"/>
        <v/>
      </c>
      <c r="O10" s="11" t="str">
        <f t="shared" si="11"/>
        <v/>
      </c>
      <c r="P10" s="11" t="str">
        <f t="shared" si="1"/>
        <v/>
      </c>
      <c r="Q10" s="23"/>
    </row>
    <row r="11" spans="1:18" ht="66" customHeight="1">
      <c r="A11" s="11">
        <f t="shared" si="2"/>
        <v>8</v>
      </c>
      <c r="B11" s="2"/>
      <c r="C11" s="14"/>
      <c r="D11" s="14"/>
      <c r="E11" s="14"/>
      <c r="F11" s="11" t="str">
        <f t="shared" si="12"/>
        <v/>
      </c>
      <c r="G11" s="11" t="str">
        <f t="shared" si="4"/>
        <v/>
      </c>
      <c r="H11" s="11" t="str">
        <f t="shared" si="5"/>
        <v/>
      </c>
      <c r="I11" s="11" t="str">
        <f t="shared" si="6"/>
        <v/>
      </c>
      <c r="J11" s="11" t="str">
        <f t="shared" si="7"/>
        <v/>
      </c>
      <c r="K11" s="11" t="str">
        <f t="shared" si="8"/>
        <v/>
      </c>
      <c r="L11" s="11" t="str">
        <f t="shared" si="9"/>
        <v/>
      </c>
      <c r="M11" s="11" t="str">
        <f t="shared" si="0"/>
        <v/>
      </c>
      <c r="N11" s="11" t="str">
        <f t="shared" si="10"/>
        <v/>
      </c>
      <c r="O11" s="11" t="str">
        <f t="shared" si="11"/>
        <v/>
      </c>
      <c r="P11" s="11" t="str">
        <f t="shared" si="1"/>
        <v/>
      </c>
      <c r="Q11" s="23"/>
    </row>
    <row r="12" spans="1:18" ht="24.75" customHeight="1">
      <c r="A12" s="26" t="str">
        <f>IF(R2="m","جمع طول آرماتورها (متر)","جمع طول آرماتورها (سانتی‌متر)")</f>
        <v>جمع طول آرماتورها (سانتی‌متر)</v>
      </c>
      <c r="B12" s="26"/>
      <c r="C12" s="26"/>
      <c r="D12" s="26"/>
      <c r="E12" s="26"/>
      <c r="F12" s="16">
        <f t="shared" ref="F12:P12" si="13">SUM(F4:F11)</f>
        <v>0</v>
      </c>
      <c r="G12" s="16">
        <f t="shared" si="13"/>
        <v>0</v>
      </c>
      <c r="H12" s="16">
        <f t="shared" si="13"/>
        <v>0</v>
      </c>
      <c r="I12" s="16">
        <f t="shared" si="13"/>
        <v>36040</v>
      </c>
      <c r="J12" s="16">
        <f t="shared" si="13"/>
        <v>68670</v>
      </c>
      <c r="K12" s="16">
        <f t="shared" si="13"/>
        <v>0</v>
      </c>
      <c r="L12" s="16">
        <f t="shared" si="13"/>
        <v>0</v>
      </c>
      <c r="M12" s="16">
        <f t="shared" si="13"/>
        <v>0</v>
      </c>
      <c r="N12" s="16">
        <f t="shared" si="13"/>
        <v>0</v>
      </c>
      <c r="O12" s="16">
        <f t="shared" si="13"/>
        <v>0</v>
      </c>
      <c r="P12" s="16">
        <f t="shared" si="13"/>
        <v>0</v>
      </c>
      <c r="Q12" s="24"/>
    </row>
    <row r="13" spans="1:18" ht="24.75" customHeight="1">
      <c r="A13" s="26" t="str">
        <f>IF(R2="m","وزن هر متر (kg/m)","وزن هر سانتی‌متر (kg/cm)")</f>
        <v>وزن هر سانتی‌متر (kg/cm)</v>
      </c>
      <c r="B13" s="26"/>
      <c r="C13" s="26"/>
      <c r="D13" s="26"/>
      <c r="E13" s="26"/>
      <c r="F13" s="16">
        <f>IF($R$2="m",0.395,0.00395)</f>
        <v>3.9500000000000004E-3</v>
      </c>
      <c r="G13" s="16">
        <f>IF($R$2="m",0.617,0.00617)</f>
        <v>6.1700000000000001E-3</v>
      </c>
      <c r="H13" s="16">
        <f>IF($R$2="m",0.888,0.00888)</f>
        <v>8.8800000000000007E-3</v>
      </c>
      <c r="I13" s="16">
        <f>IF($R$2="m",1.21,0.0121)</f>
        <v>1.21E-2</v>
      </c>
      <c r="J13" s="16">
        <f>IF($R$2="m",1.58,0.0158)</f>
        <v>1.5800000000000002E-2</v>
      </c>
      <c r="K13" s="16">
        <f>IF($R$2="m",2,0.02)</f>
        <v>0.02</v>
      </c>
      <c r="L13" s="16">
        <f>IF($R$2="m",2.47,0.0247)</f>
        <v>2.47E-2</v>
      </c>
      <c r="M13" s="16">
        <f>IF($R$2="m",2.98,0.0298)</f>
        <v>2.98E-2</v>
      </c>
      <c r="N13" s="16">
        <f>IF($R$2="m",3.85,0.0385)</f>
        <v>3.85E-2</v>
      </c>
      <c r="O13" s="16">
        <f>IF($R$2="m",4.83,0.0483)</f>
        <v>4.8300000000000003E-2</v>
      </c>
      <c r="P13" s="16">
        <f>IF($R$2="m",6.31,0.0631)</f>
        <v>6.3100000000000003E-2</v>
      </c>
      <c r="Q13" s="24"/>
    </row>
    <row r="14" spans="1:18" ht="24.75" customHeight="1">
      <c r="A14" s="26" t="s">
        <v>17</v>
      </c>
      <c r="B14" s="26"/>
      <c r="C14" s="26"/>
      <c r="D14" s="26"/>
      <c r="E14" s="26"/>
      <c r="F14" s="16">
        <f>F12*F13</f>
        <v>0</v>
      </c>
      <c r="G14" s="16">
        <f t="shared" ref="G14:P14" si="14">G12*G13</f>
        <v>0</v>
      </c>
      <c r="H14" s="16">
        <f t="shared" si="14"/>
        <v>0</v>
      </c>
      <c r="I14" s="16">
        <f t="shared" si="14"/>
        <v>436.084</v>
      </c>
      <c r="J14" s="16">
        <f t="shared" si="14"/>
        <v>1084.9860000000001</v>
      </c>
      <c r="K14" s="16">
        <f t="shared" si="14"/>
        <v>0</v>
      </c>
      <c r="L14" s="16">
        <f>L12*L13</f>
        <v>0</v>
      </c>
      <c r="M14" s="16">
        <f>M12*M13</f>
        <v>0</v>
      </c>
      <c r="N14" s="16">
        <f t="shared" si="14"/>
        <v>0</v>
      </c>
      <c r="O14" s="16">
        <f t="shared" si="14"/>
        <v>0</v>
      </c>
      <c r="P14" s="16">
        <f t="shared" si="14"/>
        <v>0</v>
      </c>
      <c r="Q14" s="24"/>
    </row>
    <row r="15" spans="1:18" ht="24.75" customHeight="1">
      <c r="A15" s="26" t="s">
        <v>18</v>
      </c>
      <c r="B15" s="26"/>
      <c r="C15" s="26"/>
      <c r="D15" s="26"/>
      <c r="E15" s="26"/>
      <c r="F15" s="27" t="str">
        <f>ROUND(SUM(F14:P14)/1000,3)&amp;" تن"</f>
        <v>1.521 تن</v>
      </c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4"/>
    </row>
    <row r="16" spans="1:18" ht="40.5" customHeight="1"/>
    <row r="17" ht="40.5" customHeight="1"/>
    <row r="18" ht="40.5" customHeight="1"/>
    <row r="19" ht="40.5" customHeight="1"/>
    <row r="20" ht="40.5" customHeight="1"/>
    <row r="21" ht="40.5" customHeight="1"/>
  </sheetData>
  <mergeCells count="12">
    <mergeCell ref="A1:Q1"/>
    <mergeCell ref="A2:A3"/>
    <mergeCell ref="B2:B3"/>
    <mergeCell ref="C2:C3"/>
    <mergeCell ref="E2:E3"/>
    <mergeCell ref="F2:Q2"/>
    <mergeCell ref="R2:R3"/>
    <mergeCell ref="A12:E12"/>
    <mergeCell ref="A13:E13"/>
    <mergeCell ref="A14:E14"/>
    <mergeCell ref="A15:E15"/>
    <mergeCell ref="F15:P15"/>
  </mergeCells>
  <dataValidations count="1">
    <dataValidation type="list" allowBlank="1" showInputMessage="1" showErrorMessage="1" sqref="R2:R3" xr:uid="{A122E6AE-D70F-4B39-82A1-5FD7C6B8830E}">
      <formula1>"m,cm"</formula1>
    </dataValidation>
  </dataValidations>
  <pageMargins left="0.51181102362204722" right="0.51181102362204722" top="0.74803149606299213" bottom="0.74803149606299213" header="0.31496062992125984" footer="0.31496062992125984"/>
  <pageSetup paperSize="9" scale="69" fitToHeight="0" orientation="landscape" verticalDpi="0" r:id="rId1"/>
  <colBreaks count="1" manualBreakCount="1">
    <brk id="6" max="3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09AF0-1D9E-435A-A362-59F111745FC6}">
  <sheetPr codeName="Sheet5">
    <tabColor rgb="FFFFC000"/>
    <pageSetUpPr fitToPage="1"/>
  </sheetPr>
  <dimension ref="A1:R21"/>
  <sheetViews>
    <sheetView zoomScale="90" zoomScaleNormal="90" workbookViewId="0">
      <pane ySplit="3" topLeftCell="A6" activePane="bottomLeft" state="frozen"/>
      <selection pane="bottomLeft" activeCell="Q8" sqref="Q8"/>
    </sheetView>
  </sheetViews>
  <sheetFormatPr defaultColWidth="9.109375" defaultRowHeight="13.8"/>
  <cols>
    <col min="1" max="1" width="9.5546875" style="13" bestFit="1" customWidth="1"/>
    <col min="2" max="2" width="37.88671875" style="13" customWidth="1"/>
    <col min="3" max="5" width="9.5546875" style="13" customWidth="1"/>
    <col min="6" max="16" width="8.44140625" style="13" customWidth="1"/>
    <col min="17" max="17" width="21.44140625" style="13" customWidth="1"/>
    <col min="18" max="16384" width="9.109375" style="1"/>
  </cols>
  <sheetData>
    <row r="1" spans="1:18" ht="30.75" customHeight="1">
      <c r="A1" s="29" t="s">
        <v>29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19" t="s">
        <v>21</v>
      </c>
    </row>
    <row r="2" spans="1:18">
      <c r="A2" s="26" t="s">
        <v>0</v>
      </c>
      <c r="B2" s="30" t="s">
        <v>1</v>
      </c>
      <c r="C2" s="26" t="s">
        <v>2</v>
      </c>
      <c r="D2" s="21" t="s">
        <v>3</v>
      </c>
      <c r="E2" s="26" t="s">
        <v>4</v>
      </c>
      <c r="F2" s="32" t="s">
        <v>5</v>
      </c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28" t="s">
        <v>22</v>
      </c>
    </row>
    <row r="3" spans="1:18">
      <c r="A3" s="26"/>
      <c r="B3" s="31"/>
      <c r="C3" s="26"/>
      <c r="D3" s="21" t="str">
        <f>IF(R2="m","متر","سانتی‌متر")</f>
        <v>سانتی‌متر</v>
      </c>
      <c r="E3" s="26"/>
      <c r="F3" s="21" t="s">
        <v>6</v>
      </c>
      <c r="G3" s="21" t="s">
        <v>7</v>
      </c>
      <c r="H3" s="21" t="s">
        <v>8</v>
      </c>
      <c r="I3" s="21" t="s">
        <v>9</v>
      </c>
      <c r="J3" s="21" t="s">
        <v>10</v>
      </c>
      <c r="K3" s="21" t="s">
        <v>11</v>
      </c>
      <c r="L3" s="21" t="s">
        <v>12</v>
      </c>
      <c r="M3" s="21" t="s">
        <v>23</v>
      </c>
      <c r="N3" s="21" t="s">
        <v>13</v>
      </c>
      <c r="O3" s="21" t="s">
        <v>14</v>
      </c>
      <c r="P3" s="21" t="s">
        <v>15</v>
      </c>
      <c r="Q3" s="21" t="s">
        <v>16</v>
      </c>
      <c r="R3" s="28"/>
    </row>
    <row r="4" spans="1:18" ht="60.75" customHeight="1">
      <c r="A4" s="11">
        <f>ROW()-3</f>
        <v>1</v>
      </c>
      <c r="B4" s="2"/>
      <c r="C4" s="14">
        <v>18</v>
      </c>
      <c r="D4" s="14">
        <v>365</v>
      </c>
      <c r="E4" s="14">
        <v>20</v>
      </c>
      <c r="F4" s="11" t="str">
        <f>IF($C4=8,($D4*$E4),"")</f>
        <v/>
      </c>
      <c r="G4" s="11" t="str">
        <f>IF($C4=10,($D4*$E4),"")</f>
        <v/>
      </c>
      <c r="H4" s="11" t="str">
        <f>IF($C4=12,($D4*$E4),"")</f>
        <v/>
      </c>
      <c r="I4" s="11" t="str">
        <f>IF($C4=14,($D4*$E4),"")</f>
        <v/>
      </c>
      <c r="J4" s="11" t="str">
        <f>IF($C4=16,($D4*$E4),"")</f>
        <v/>
      </c>
      <c r="K4" s="11">
        <f>IF($C4=18,($D4*$E4),"")</f>
        <v>7300</v>
      </c>
      <c r="L4" s="11" t="str">
        <f>IF($C4=20,($D4*$E4),"")</f>
        <v/>
      </c>
      <c r="M4" s="11" t="str">
        <f t="shared" ref="M4:M11" si="0">IF($C4=22,($D4*$E4),"")</f>
        <v/>
      </c>
      <c r="N4" s="11" t="str">
        <f>IF($C4=25,($D4*$E4),"")</f>
        <v/>
      </c>
      <c r="O4" s="11" t="str">
        <f>IF($C4=28,($D4*$E4),"")</f>
        <v/>
      </c>
      <c r="P4" s="11" t="str">
        <f t="shared" ref="P4:P11" si="1">IF($C4=32,($D4*$E4),"")</f>
        <v/>
      </c>
      <c r="Q4" s="11" t="s">
        <v>31</v>
      </c>
    </row>
    <row r="5" spans="1:18" ht="60.75" customHeight="1">
      <c r="A5" s="11">
        <f t="shared" ref="A5:A11" si="2">ROW()-3</f>
        <v>2</v>
      </c>
      <c r="B5" s="11"/>
      <c r="C5" s="14">
        <v>18</v>
      </c>
      <c r="D5" s="14">
        <v>530</v>
      </c>
      <c r="E5" s="14">
        <v>40</v>
      </c>
      <c r="F5" s="11" t="str">
        <f t="shared" ref="F5" si="3">IF($C5=8,($D5*$E5),"")</f>
        <v/>
      </c>
      <c r="G5" s="11" t="str">
        <f t="shared" ref="G5:G11" si="4">IF($C5=10,($D5*$E5),"")</f>
        <v/>
      </c>
      <c r="H5" s="11" t="str">
        <f t="shared" ref="H5:H11" si="5">IF($C5=12,($D5*$E5),"")</f>
        <v/>
      </c>
      <c r="I5" s="11" t="str">
        <f t="shared" ref="I5:I11" si="6">IF($C5=14,($D5*$E5),"")</f>
        <v/>
      </c>
      <c r="J5" s="11" t="str">
        <f t="shared" ref="J5:J11" si="7">IF($C5=16,($D5*$E5),"")</f>
        <v/>
      </c>
      <c r="K5" s="11">
        <f t="shared" ref="K5:K11" si="8">IF($C5=18,($D5*$E5),"")</f>
        <v>21200</v>
      </c>
      <c r="L5" s="11" t="str">
        <f t="shared" ref="L5:L11" si="9">IF($C5=20,($D5*$E5),"")</f>
        <v/>
      </c>
      <c r="M5" s="11" t="str">
        <f t="shared" si="0"/>
        <v/>
      </c>
      <c r="N5" s="11" t="str">
        <f t="shared" ref="N5:N11" si="10">IF($C5=25,($D5*$E5),"")</f>
        <v/>
      </c>
      <c r="O5" s="11" t="str">
        <f t="shared" ref="O5:O11" si="11">IF($C5=28,($D5*$E5),"")</f>
        <v/>
      </c>
      <c r="P5" s="11" t="str">
        <f t="shared" si="1"/>
        <v/>
      </c>
      <c r="Q5" s="11" t="s">
        <v>30</v>
      </c>
    </row>
    <row r="6" spans="1:18" ht="81.75" customHeight="1">
      <c r="A6" s="11">
        <f t="shared" si="2"/>
        <v>3</v>
      </c>
      <c r="B6" s="2"/>
      <c r="C6" s="14">
        <v>18</v>
      </c>
      <c r="D6" s="14">
        <v>330</v>
      </c>
      <c r="E6" s="14">
        <v>40</v>
      </c>
      <c r="F6" s="11" t="str">
        <f>IF($C6=8,($D6*$E6),"")</f>
        <v/>
      </c>
      <c r="G6" s="11" t="str">
        <f t="shared" si="4"/>
        <v/>
      </c>
      <c r="H6" s="11" t="str">
        <f t="shared" si="5"/>
        <v/>
      </c>
      <c r="I6" s="11" t="str">
        <f t="shared" si="6"/>
        <v/>
      </c>
      <c r="J6" s="11" t="str">
        <f t="shared" si="7"/>
        <v/>
      </c>
      <c r="K6" s="11">
        <f t="shared" si="8"/>
        <v>13200</v>
      </c>
      <c r="L6" s="11" t="str">
        <f t="shared" si="9"/>
        <v/>
      </c>
      <c r="M6" s="11" t="str">
        <f t="shared" si="0"/>
        <v/>
      </c>
      <c r="N6" s="11" t="str">
        <f t="shared" si="10"/>
        <v/>
      </c>
      <c r="O6" s="11" t="str">
        <f t="shared" si="11"/>
        <v/>
      </c>
      <c r="P6" s="11" t="str">
        <f t="shared" si="1"/>
        <v/>
      </c>
      <c r="Q6" s="11" t="s">
        <v>30</v>
      </c>
    </row>
    <row r="7" spans="1:18" ht="81.75" customHeight="1">
      <c r="A7" s="11">
        <f t="shared" si="2"/>
        <v>4</v>
      </c>
      <c r="B7" s="2"/>
      <c r="C7" s="14">
        <v>10</v>
      </c>
      <c r="D7" s="14">
        <v>140</v>
      </c>
      <c r="E7" s="14">
        <v>295</v>
      </c>
      <c r="F7" s="11" t="str">
        <f t="shared" ref="F7:F11" si="12">IF($C7=8,($D7*$E7),"")</f>
        <v/>
      </c>
      <c r="G7" s="11">
        <f t="shared" si="4"/>
        <v>41300</v>
      </c>
      <c r="H7" s="11" t="str">
        <f t="shared" si="5"/>
        <v/>
      </c>
      <c r="I7" s="11" t="str">
        <f t="shared" si="6"/>
        <v/>
      </c>
      <c r="J7" s="11" t="str">
        <f t="shared" si="7"/>
        <v/>
      </c>
      <c r="K7" s="11" t="str">
        <f t="shared" si="8"/>
        <v/>
      </c>
      <c r="L7" s="11" t="str">
        <f t="shared" si="9"/>
        <v/>
      </c>
      <c r="M7" s="11" t="str">
        <f t="shared" si="0"/>
        <v/>
      </c>
      <c r="N7" s="11" t="str">
        <f t="shared" si="10"/>
        <v/>
      </c>
      <c r="O7" s="11" t="str">
        <f t="shared" si="11"/>
        <v/>
      </c>
      <c r="P7" s="11" t="str">
        <f t="shared" si="1"/>
        <v/>
      </c>
      <c r="Q7" s="11" t="s">
        <v>32</v>
      </c>
    </row>
    <row r="8" spans="1:18" ht="81.75" customHeight="1">
      <c r="A8" s="11">
        <f t="shared" si="2"/>
        <v>5</v>
      </c>
      <c r="B8" s="2"/>
      <c r="C8" s="14"/>
      <c r="D8" s="14"/>
      <c r="E8" s="14"/>
      <c r="F8" s="11" t="str">
        <f t="shared" si="12"/>
        <v/>
      </c>
      <c r="G8" s="11" t="str">
        <f t="shared" si="4"/>
        <v/>
      </c>
      <c r="H8" s="11" t="str">
        <f t="shared" si="5"/>
        <v/>
      </c>
      <c r="I8" s="11" t="str">
        <f t="shared" si="6"/>
        <v/>
      </c>
      <c r="J8" s="11" t="str">
        <f t="shared" si="7"/>
        <v/>
      </c>
      <c r="K8" s="11" t="str">
        <f t="shared" si="8"/>
        <v/>
      </c>
      <c r="L8" s="11" t="str">
        <f t="shared" si="9"/>
        <v/>
      </c>
      <c r="M8" s="11" t="str">
        <f t="shared" si="0"/>
        <v/>
      </c>
      <c r="N8" s="11" t="str">
        <f t="shared" si="10"/>
        <v/>
      </c>
      <c r="O8" s="11" t="str">
        <f t="shared" si="11"/>
        <v/>
      </c>
      <c r="P8" s="11" t="str">
        <f t="shared" si="1"/>
        <v/>
      </c>
      <c r="Q8" s="11"/>
    </row>
    <row r="9" spans="1:18" ht="81.75" customHeight="1">
      <c r="A9" s="11">
        <f t="shared" si="2"/>
        <v>6</v>
      </c>
      <c r="B9" s="2"/>
      <c r="C9" s="14"/>
      <c r="D9" s="14"/>
      <c r="E9" s="14"/>
      <c r="F9" s="11" t="str">
        <f t="shared" si="12"/>
        <v/>
      </c>
      <c r="G9" s="11" t="str">
        <f t="shared" si="4"/>
        <v/>
      </c>
      <c r="H9" s="11" t="str">
        <f t="shared" si="5"/>
        <v/>
      </c>
      <c r="I9" s="11" t="str">
        <f t="shared" si="6"/>
        <v/>
      </c>
      <c r="J9" s="11" t="str">
        <f t="shared" si="7"/>
        <v/>
      </c>
      <c r="K9" s="11" t="str">
        <f t="shared" si="8"/>
        <v/>
      </c>
      <c r="L9" s="11" t="str">
        <f t="shared" si="9"/>
        <v/>
      </c>
      <c r="M9" s="11" t="str">
        <f t="shared" si="0"/>
        <v/>
      </c>
      <c r="N9" s="11" t="str">
        <f t="shared" si="10"/>
        <v/>
      </c>
      <c r="O9" s="11" t="str">
        <f t="shared" si="11"/>
        <v/>
      </c>
      <c r="P9" s="11" t="str">
        <f t="shared" si="1"/>
        <v/>
      </c>
      <c r="Q9" s="11"/>
    </row>
    <row r="10" spans="1:18" ht="66" customHeight="1">
      <c r="A10" s="11">
        <f t="shared" si="2"/>
        <v>7</v>
      </c>
      <c r="B10" s="2"/>
      <c r="C10" s="14"/>
      <c r="D10" s="14"/>
      <c r="E10" s="14"/>
      <c r="F10" s="11" t="str">
        <f t="shared" si="12"/>
        <v/>
      </c>
      <c r="G10" s="11" t="str">
        <f t="shared" si="4"/>
        <v/>
      </c>
      <c r="H10" s="11" t="str">
        <f t="shared" si="5"/>
        <v/>
      </c>
      <c r="I10" s="11" t="str">
        <f t="shared" si="6"/>
        <v/>
      </c>
      <c r="J10" s="11" t="str">
        <f t="shared" si="7"/>
        <v/>
      </c>
      <c r="K10" s="11" t="str">
        <f t="shared" si="8"/>
        <v/>
      </c>
      <c r="L10" s="11" t="str">
        <f t="shared" si="9"/>
        <v/>
      </c>
      <c r="M10" s="11" t="str">
        <f t="shared" si="0"/>
        <v/>
      </c>
      <c r="N10" s="11" t="str">
        <f t="shared" si="10"/>
        <v/>
      </c>
      <c r="O10" s="11" t="str">
        <f t="shared" si="11"/>
        <v/>
      </c>
      <c r="P10" s="11" t="str">
        <f t="shared" si="1"/>
        <v/>
      </c>
      <c r="Q10" s="11"/>
    </row>
    <row r="11" spans="1:18" ht="66" customHeight="1">
      <c r="A11" s="11">
        <f t="shared" si="2"/>
        <v>8</v>
      </c>
      <c r="B11" s="2"/>
      <c r="C11" s="14"/>
      <c r="D11" s="14"/>
      <c r="E11" s="14"/>
      <c r="F11" s="11" t="str">
        <f t="shared" si="12"/>
        <v/>
      </c>
      <c r="G11" s="11" t="str">
        <f t="shared" si="4"/>
        <v/>
      </c>
      <c r="H11" s="11" t="str">
        <f t="shared" si="5"/>
        <v/>
      </c>
      <c r="I11" s="11" t="str">
        <f t="shared" si="6"/>
        <v/>
      </c>
      <c r="J11" s="11" t="str">
        <f t="shared" si="7"/>
        <v/>
      </c>
      <c r="K11" s="11" t="str">
        <f t="shared" si="8"/>
        <v/>
      </c>
      <c r="L11" s="11" t="str">
        <f t="shared" si="9"/>
        <v/>
      </c>
      <c r="M11" s="11" t="str">
        <f t="shared" si="0"/>
        <v/>
      </c>
      <c r="N11" s="11" t="str">
        <f t="shared" si="10"/>
        <v/>
      </c>
      <c r="O11" s="11" t="str">
        <f t="shared" si="11"/>
        <v/>
      </c>
      <c r="P11" s="11" t="str">
        <f t="shared" si="1"/>
        <v/>
      </c>
      <c r="Q11" s="11"/>
    </row>
    <row r="12" spans="1:18" ht="24.75" customHeight="1">
      <c r="A12" s="26" t="str">
        <f>IF(R2="m","جمع طول آرماتورها (متر)","جمع طول آرماتورها (سانتی‌متر)")</f>
        <v>جمع طول آرماتورها (سانتی‌متر)</v>
      </c>
      <c r="B12" s="26"/>
      <c r="C12" s="26"/>
      <c r="D12" s="26"/>
      <c r="E12" s="26"/>
      <c r="F12" s="20">
        <f t="shared" ref="F12:P12" si="13">SUM(F4:F11)</f>
        <v>0</v>
      </c>
      <c r="G12" s="20">
        <f t="shared" si="13"/>
        <v>41300</v>
      </c>
      <c r="H12" s="20">
        <f t="shared" si="13"/>
        <v>0</v>
      </c>
      <c r="I12" s="20">
        <f t="shared" si="13"/>
        <v>0</v>
      </c>
      <c r="J12" s="20">
        <f t="shared" si="13"/>
        <v>0</v>
      </c>
      <c r="K12" s="20">
        <f t="shared" si="13"/>
        <v>41700</v>
      </c>
      <c r="L12" s="20">
        <f t="shared" si="13"/>
        <v>0</v>
      </c>
      <c r="M12" s="20">
        <f t="shared" si="13"/>
        <v>0</v>
      </c>
      <c r="N12" s="20">
        <f t="shared" si="13"/>
        <v>0</v>
      </c>
      <c r="O12" s="20">
        <f t="shared" si="13"/>
        <v>0</v>
      </c>
      <c r="P12" s="20">
        <f t="shared" si="13"/>
        <v>0</v>
      </c>
      <c r="Q12" s="4"/>
    </row>
    <row r="13" spans="1:18" ht="24.75" customHeight="1">
      <c r="A13" s="26" t="str">
        <f>IF(R2="m","وزن هر متر (kg/m)","وزن هر سانتی‌متر (kg/cm)")</f>
        <v>وزن هر سانتی‌متر (kg/cm)</v>
      </c>
      <c r="B13" s="26"/>
      <c r="C13" s="26"/>
      <c r="D13" s="26"/>
      <c r="E13" s="26"/>
      <c r="F13" s="20">
        <f>IF($R$2="m",0.395,0.00395)</f>
        <v>3.9500000000000004E-3</v>
      </c>
      <c r="G13" s="20">
        <f>IF($R$2="m",0.617,0.00617)</f>
        <v>6.1700000000000001E-3</v>
      </c>
      <c r="H13" s="20">
        <f>IF($R$2="m",0.888,0.00888)</f>
        <v>8.8800000000000007E-3</v>
      </c>
      <c r="I13" s="20">
        <f>IF($R$2="m",1.21,0.0121)</f>
        <v>1.21E-2</v>
      </c>
      <c r="J13" s="20">
        <f>IF($R$2="m",1.58,0.0158)</f>
        <v>1.5800000000000002E-2</v>
      </c>
      <c r="K13" s="20">
        <f>IF($R$2="m",2,0.02)</f>
        <v>0.02</v>
      </c>
      <c r="L13" s="20">
        <f>IF($R$2="m",2.47,0.0247)</f>
        <v>2.47E-2</v>
      </c>
      <c r="M13" s="20">
        <f>IF($R$2="m",2.98,0.0298)</f>
        <v>2.98E-2</v>
      </c>
      <c r="N13" s="20">
        <f>IF($R$2="m",3.85,0.0385)</f>
        <v>3.85E-2</v>
      </c>
      <c r="O13" s="20">
        <f>IF($R$2="m",4.83,0.0483)</f>
        <v>4.8300000000000003E-2</v>
      </c>
      <c r="P13" s="20">
        <f>IF($R$2="m",6.31,0.0631)</f>
        <v>6.3100000000000003E-2</v>
      </c>
      <c r="Q13" s="4"/>
    </row>
    <row r="14" spans="1:18" ht="24.75" customHeight="1">
      <c r="A14" s="26" t="s">
        <v>17</v>
      </c>
      <c r="B14" s="26"/>
      <c r="C14" s="26"/>
      <c r="D14" s="26"/>
      <c r="E14" s="26"/>
      <c r="F14" s="20">
        <f>F12*F13</f>
        <v>0</v>
      </c>
      <c r="G14" s="20">
        <f t="shared" ref="G14:P14" si="14">G12*G13</f>
        <v>254.821</v>
      </c>
      <c r="H14" s="20">
        <f t="shared" si="14"/>
        <v>0</v>
      </c>
      <c r="I14" s="20">
        <f t="shared" si="14"/>
        <v>0</v>
      </c>
      <c r="J14" s="20">
        <f t="shared" si="14"/>
        <v>0</v>
      </c>
      <c r="K14" s="20">
        <f t="shared" si="14"/>
        <v>834</v>
      </c>
      <c r="L14" s="20">
        <f>L12*L13</f>
        <v>0</v>
      </c>
      <c r="M14" s="20">
        <f>M12*M13</f>
        <v>0</v>
      </c>
      <c r="N14" s="20">
        <f t="shared" si="14"/>
        <v>0</v>
      </c>
      <c r="O14" s="20">
        <f t="shared" si="14"/>
        <v>0</v>
      </c>
      <c r="P14" s="20">
        <f t="shared" si="14"/>
        <v>0</v>
      </c>
      <c r="Q14" s="4"/>
    </row>
    <row r="15" spans="1:18" ht="24.75" customHeight="1">
      <c r="A15" s="26" t="s">
        <v>18</v>
      </c>
      <c r="B15" s="26"/>
      <c r="C15" s="26"/>
      <c r="D15" s="26"/>
      <c r="E15" s="26"/>
      <c r="F15" s="27" t="str">
        <f>ROUND(SUM(F14:P14)/1000,3)&amp;" تن"</f>
        <v>1.089 تن</v>
      </c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4"/>
    </row>
    <row r="16" spans="1:18" ht="40.5" customHeight="1"/>
    <row r="17" ht="40.5" customHeight="1"/>
    <row r="18" ht="40.5" customHeight="1"/>
    <row r="19" ht="40.5" customHeight="1"/>
    <row r="20" ht="40.5" customHeight="1"/>
    <row r="21" ht="40.5" customHeight="1"/>
  </sheetData>
  <mergeCells count="12">
    <mergeCell ref="R2:R3"/>
    <mergeCell ref="A12:E12"/>
    <mergeCell ref="A13:E13"/>
    <mergeCell ref="A14:E14"/>
    <mergeCell ref="A15:E15"/>
    <mergeCell ref="F15:P15"/>
    <mergeCell ref="A1:Q1"/>
    <mergeCell ref="A2:A3"/>
    <mergeCell ref="B2:B3"/>
    <mergeCell ref="C2:C3"/>
    <mergeCell ref="E2:E3"/>
    <mergeCell ref="F2:Q2"/>
  </mergeCells>
  <dataValidations disablePrompts="1" count="1">
    <dataValidation type="list" allowBlank="1" showInputMessage="1" showErrorMessage="1" sqref="R2:R3" xr:uid="{C5B1260A-9CDA-473C-A938-9238760F7B8D}">
      <formula1>"m,cm"</formula1>
    </dataValidation>
  </dataValidations>
  <pageMargins left="0.51181102362204722" right="0.51181102362204722" top="0.74803149606299213" bottom="0.74803149606299213" header="0.31496062992125984" footer="0.31496062992125984"/>
  <pageSetup paperSize="9" scale="69" fitToHeight="0" orientation="landscape" verticalDpi="0" r:id="rId1"/>
  <colBreaks count="1" manualBreakCount="1">
    <brk id="6" max="34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87EDD-670A-44E3-BF25-2D7B5E3656A0}">
  <sheetPr codeName="Sheet6">
    <tabColor rgb="FFFFC000"/>
    <pageSetUpPr fitToPage="1"/>
  </sheetPr>
  <dimension ref="A1:R21"/>
  <sheetViews>
    <sheetView zoomScale="80" zoomScaleNormal="80" workbookViewId="0">
      <pane ySplit="3" topLeftCell="A5" activePane="bottomLeft" state="frozen"/>
      <selection pane="bottomLeft" activeCell="Q8" sqref="Q8"/>
    </sheetView>
  </sheetViews>
  <sheetFormatPr defaultColWidth="9.109375" defaultRowHeight="13.8"/>
  <cols>
    <col min="1" max="1" width="9.5546875" style="13" bestFit="1" customWidth="1"/>
    <col min="2" max="2" width="37.88671875" style="13" customWidth="1"/>
    <col min="3" max="5" width="9.5546875" style="13" customWidth="1"/>
    <col min="6" max="16" width="8.44140625" style="13" customWidth="1"/>
    <col min="17" max="17" width="21.44140625" style="13" customWidth="1"/>
    <col min="18" max="16384" width="9.109375" style="1"/>
  </cols>
  <sheetData>
    <row r="1" spans="1:18" ht="30.75" customHeight="1">
      <c r="A1" s="29" t="s">
        <v>29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19" t="s">
        <v>21</v>
      </c>
    </row>
    <row r="2" spans="1:18">
      <c r="A2" s="26" t="s">
        <v>0</v>
      </c>
      <c r="B2" s="30" t="s">
        <v>1</v>
      </c>
      <c r="C2" s="26" t="s">
        <v>2</v>
      </c>
      <c r="D2" s="21" t="s">
        <v>3</v>
      </c>
      <c r="E2" s="26" t="s">
        <v>4</v>
      </c>
      <c r="F2" s="32" t="s">
        <v>5</v>
      </c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28" t="s">
        <v>22</v>
      </c>
    </row>
    <row r="3" spans="1:18">
      <c r="A3" s="26"/>
      <c r="B3" s="31"/>
      <c r="C3" s="26"/>
      <c r="D3" s="21" t="str">
        <f>IF(R2="m","متر","سانتی‌متر")</f>
        <v>سانتی‌متر</v>
      </c>
      <c r="E3" s="26"/>
      <c r="F3" s="21" t="s">
        <v>6</v>
      </c>
      <c r="G3" s="21" t="s">
        <v>7</v>
      </c>
      <c r="H3" s="21" t="s">
        <v>8</v>
      </c>
      <c r="I3" s="21" t="s">
        <v>9</v>
      </c>
      <c r="J3" s="21" t="s">
        <v>10</v>
      </c>
      <c r="K3" s="21" t="s">
        <v>11</v>
      </c>
      <c r="L3" s="21" t="s">
        <v>12</v>
      </c>
      <c r="M3" s="21" t="s">
        <v>23</v>
      </c>
      <c r="N3" s="21" t="s">
        <v>13</v>
      </c>
      <c r="O3" s="21" t="s">
        <v>14</v>
      </c>
      <c r="P3" s="21" t="s">
        <v>15</v>
      </c>
      <c r="Q3" s="21" t="s">
        <v>16</v>
      </c>
      <c r="R3" s="28"/>
    </row>
    <row r="4" spans="1:18" ht="60.75" customHeight="1">
      <c r="A4" s="11">
        <f>ROW()-3</f>
        <v>1</v>
      </c>
      <c r="B4" s="2"/>
      <c r="C4" s="14">
        <v>18</v>
      </c>
      <c r="D4" s="14">
        <v>365</v>
      </c>
      <c r="E4" s="14">
        <v>16</v>
      </c>
      <c r="F4" s="11" t="str">
        <f>IF($C4=8,($D4*$E4),"")</f>
        <v/>
      </c>
      <c r="G4" s="11" t="str">
        <f>IF($C4=10,($D4*$E4),"")</f>
        <v/>
      </c>
      <c r="H4" s="11" t="str">
        <f>IF($C4=12,($D4*$E4),"")</f>
        <v/>
      </c>
      <c r="I4" s="11" t="str">
        <f>IF($C4=14,($D4*$E4),"")</f>
        <v/>
      </c>
      <c r="J4" s="11" t="str">
        <f>IF($C4=16,($D4*$E4),"")</f>
        <v/>
      </c>
      <c r="K4" s="11">
        <f>IF($C4=18,($D4*$E4),"")</f>
        <v>5840</v>
      </c>
      <c r="L4" s="11" t="str">
        <f>IF($C4=20,($D4*$E4),"")</f>
        <v/>
      </c>
      <c r="M4" s="11" t="str">
        <f t="shared" ref="M4:M11" si="0">IF($C4=22,($D4*$E4),"")</f>
        <v/>
      </c>
      <c r="N4" s="11" t="str">
        <f>IF($C4=25,($D4*$E4),"")</f>
        <v/>
      </c>
      <c r="O4" s="11" t="str">
        <f>IF($C4=28,($D4*$E4),"")</f>
        <v/>
      </c>
      <c r="P4" s="11" t="str">
        <f t="shared" ref="P4:P11" si="1">IF($C4=32,($D4*$E4),"")</f>
        <v/>
      </c>
      <c r="Q4" s="11" t="s">
        <v>31</v>
      </c>
    </row>
    <row r="5" spans="1:18" ht="60.75" customHeight="1">
      <c r="A5" s="11">
        <f t="shared" ref="A5:A11" si="2">ROW()-3</f>
        <v>2</v>
      </c>
      <c r="B5" s="11"/>
      <c r="C5" s="14">
        <v>18</v>
      </c>
      <c r="D5" s="14">
        <v>540</v>
      </c>
      <c r="E5" s="14">
        <v>32</v>
      </c>
      <c r="F5" s="11" t="str">
        <f t="shared" ref="F5" si="3">IF($C5=8,($D5*$E5),"")</f>
        <v/>
      </c>
      <c r="G5" s="11" t="str">
        <f t="shared" ref="G5:G11" si="4">IF($C5=10,($D5*$E5),"")</f>
        <v/>
      </c>
      <c r="H5" s="11" t="str">
        <f t="shared" ref="H5:H11" si="5">IF($C5=12,($D5*$E5),"")</f>
        <v/>
      </c>
      <c r="I5" s="11" t="str">
        <f t="shared" ref="I5:I11" si="6">IF($C5=14,($D5*$E5),"")</f>
        <v/>
      </c>
      <c r="J5" s="11" t="str">
        <f t="shared" ref="J5:J11" si="7">IF($C5=16,($D5*$E5),"")</f>
        <v/>
      </c>
      <c r="K5" s="11">
        <f t="shared" ref="K5:K11" si="8">IF($C5=18,($D5*$E5),"")</f>
        <v>17280</v>
      </c>
      <c r="L5" s="11" t="str">
        <f t="shared" ref="L5:L11" si="9">IF($C5=20,($D5*$E5),"")</f>
        <v/>
      </c>
      <c r="M5" s="11" t="str">
        <f t="shared" si="0"/>
        <v/>
      </c>
      <c r="N5" s="11" t="str">
        <f t="shared" ref="N5:N11" si="10">IF($C5=25,($D5*$E5),"")</f>
        <v/>
      </c>
      <c r="O5" s="11" t="str">
        <f t="shared" ref="O5:O11" si="11">IF($C5=28,($D5*$E5),"")</f>
        <v/>
      </c>
      <c r="P5" s="11" t="str">
        <f t="shared" si="1"/>
        <v/>
      </c>
      <c r="Q5" s="11" t="s">
        <v>30</v>
      </c>
    </row>
    <row r="6" spans="1:18" ht="81.75" customHeight="1">
      <c r="A6" s="11">
        <f t="shared" si="2"/>
        <v>3</v>
      </c>
      <c r="B6" s="2"/>
      <c r="C6" s="14">
        <v>18</v>
      </c>
      <c r="D6" s="14">
        <v>460</v>
      </c>
      <c r="E6" s="14">
        <v>32</v>
      </c>
      <c r="F6" s="11" t="str">
        <f>IF($C6=8,($D6*$E6),"")</f>
        <v/>
      </c>
      <c r="G6" s="11" t="str">
        <f t="shared" si="4"/>
        <v/>
      </c>
      <c r="H6" s="11" t="str">
        <f t="shared" si="5"/>
        <v/>
      </c>
      <c r="I6" s="11" t="str">
        <f t="shared" si="6"/>
        <v/>
      </c>
      <c r="J6" s="11" t="str">
        <f t="shared" si="7"/>
        <v/>
      </c>
      <c r="K6" s="11">
        <f t="shared" si="8"/>
        <v>14720</v>
      </c>
      <c r="L6" s="11" t="str">
        <f t="shared" si="9"/>
        <v/>
      </c>
      <c r="M6" s="11" t="str">
        <f t="shared" si="0"/>
        <v/>
      </c>
      <c r="N6" s="11" t="str">
        <f t="shared" si="10"/>
        <v/>
      </c>
      <c r="O6" s="11" t="str">
        <f t="shared" si="11"/>
        <v/>
      </c>
      <c r="P6" s="11" t="str">
        <f t="shared" si="1"/>
        <v/>
      </c>
      <c r="Q6" s="11" t="s">
        <v>30</v>
      </c>
    </row>
    <row r="7" spans="1:18" ht="81.75" customHeight="1">
      <c r="A7" s="11">
        <f t="shared" si="2"/>
        <v>4</v>
      </c>
      <c r="B7" s="2"/>
      <c r="C7" s="14">
        <v>18</v>
      </c>
      <c r="D7" s="14">
        <v>330</v>
      </c>
      <c r="E7" s="14">
        <v>32</v>
      </c>
      <c r="F7" s="11" t="str">
        <f t="shared" ref="F7:F11" si="12">IF($C7=8,($D7*$E7),"")</f>
        <v/>
      </c>
      <c r="G7" s="11" t="str">
        <f t="shared" si="4"/>
        <v/>
      </c>
      <c r="H7" s="11" t="str">
        <f t="shared" si="5"/>
        <v/>
      </c>
      <c r="I7" s="11" t="str">
        <f t="shared" si="6"/>
        <v/>
      </c>
      <c r="J7" s="11" t="str">
        <f t="shared" si="7"/>
        <v/>
      </c>
      <c r="K7" s="11">
        <f t="shared" si="8"/>
        <v>10560</v>
      </c>
      <c r="L7" s="11" t="str">
        <f t="shared" si="9"/>
        <v/>
      </c>
      <c r="M7" s="11" t="str">
        <f t="shared" si="0"/>
        <v/>
      </c>
      <c r="N7" s="11" t="str">
        <f t="shared" si="10"/>
        <v/>
      </c>
      <c r="O7" s="11" t="str">
        <f t="shared" si="11"/>
        <v/>
      </c>
      <c r="P7" s="11" t="str">
        <f t="shared" si="1"/>
        <v/>
      </c>
      <c r="Q7" s="11" t="s">
        <v>30</v>
      </c>
    </row>
    <row r="8" spans="1:18" ht="81.75" customHeight="1">
      <c r="A8" s="11">
        <f t="shared" si="2"/>
        <v>5</v>
      </c>
      <c r="B8" s="2"/>
      <c r="C8" s="14">
        <v>10</v>
      </c>
      <c r="D8" s="14">
        <v>140</v>
      </c>
      <c r="E8" s="14">
        <v>344</v>
      </c>
      <c r="F8" s="11" t="str">
        <f t="shared" si="12"/>
        <v/>
      </c>
      <c r="G8" s="11">
        <f t="shared" si="4"/>
        <v>48160</v>
      </c>
      <c r="H8" s="11" t="str">
        <f t="shared" si="5"/>
        <v/>
      </c>
      <c r="I8" s="11" t="str">
        <f t="shared" si="6"/>
        <v/>
      </c>
      <c r="J8" s="11" t="str">
        <f t="shared" si="7"/>
        <v/>
      </c>
      <c r="K8" s="11" t="str">
        <f t="shared" si="8"/>
        <v/>
      </c>
      <c r="L8" s="11" t="str">
        <f t="shared" si="9"/>
        <v/>
      </c>
      <c r="M8" s="11" t="str">
        <f t="shared" si="0"/>
        <v/>
      </c>
      <c r="N8" s="11" t="str">
        <f t="shared" si="10"/>
        <v/>
      </c>
      <c r="O8" s="11" t="str">
        <f t="shared" si="11"/>
        <v/>
      </c>
      <c r="P8" s="11" t="str">
        <f t="shared" si="1"/>
        <v/>
      </c>
      <c r="Q8" s="11" t="s">
        <v>32</v>
      </c>
    </row>
    <row r="9" spans="1:18" ht="81.75" customHeight="1">
      <c r="A9" s="11">
        <f t="shared" si="2"/>
        <v>6</v>
      </c>
      <c r="B9" s="2"/>
      <c r="C9" s="14"/>
      <c r="D9" s="14"/>
      <c r="E9" s="14"/>
      <c r="F9" s="11" t="str">
        <f t="shared" si="12"/>
        <v/>
      </c>
      <c r="G9" s="11" t="str">
        <f t="shared" si="4"/>
        <v/>
      </c>
      <c r="H9" s="11" t="str">
        <f t="shared" si="5"/>
        <v/>
      </c>
      <c r="I9" s="11" t="str">
        <f t="shared" si="6"/>
        <v/>
      </c>
      <c r="J9" s="11" t="str">
        <f t="shared" si="7"/>
        <v/>
      </c>
      <c r="K9" s="11" t="str">
        <f t="shared" si="8"/>
        <v/>
      </c>
      <c r="L9" s="11" t="str">
        <f t="shared" si="9"/>
        <v/>
      </c>
      <c r="M9" s="11" t="str">
        <f t="shared" si="0"/>
        <v/>
      </c>
      <c r="N9" s="11" t="str">
        <f t="shared" si="10"/>
        <v/>
      </c>
      <c r="O9" s="11" t="str">
        <f t="shared" si="11"/>
        <v/>
      </c>
      <c r="P9" s="11" t="str">
        <f t="shared" si="1"/>
        <v/>
      </c>
      <c r="Q9" s="11"/>
    </row>
    <row r="10" spans="1:18" ht="66" customHeight="1">
      <c r="A10" s="11">
        <f t="shared" si="2"/>
        <v>7</v>
      </c>
      <c r="B10" s="2"/>
      <c r="C10" s="14"/>
      <c r="D10" s="14"/>
      <c r="E10" s="14"/>
      <c r="F10" s="11" t="str">
        <f t="shared" si="12"/>
        <v/>
      </c>
      <c r="G10" s="11" t="str">
        <f t="shared" si="4"/>
        <v/>
      </c>
      <c r="H10" s="11" t="str">
        <f t="shared" si="5"/>
        <v/>
      </c>
      <c r="I10" s="11" t="str">
        <f t="shared" si="6"/>
        <v/>
      </c>
      <c r="J10" s="11" t="str">
        <f t="shared" si="7"/>
        <v/>
      </c>
      <c r="K10" s="11" t="str">
        <f t="shared" si="8"/>
        <v/>
      </c>
      <c r="L10" s="11" t="str">
        <f t="shared" si="9"/>
        <v/>
      </c>
      <c r="M10" s="11" t="str">
        <f t="shared" si="0"/>
        <v/>
      </c>
      <c r="N10" s="11" t="str">
        <f t="shared" si="10"/>
        <v/>
      </c>
      <c r="O10" s="11" t="str">
        <f t="shared" si="11"/>
        <v/>
      </c>
      <c r="P10" s="11" t="str">
        <f t="shared" si="1"/>
        <v/>
      </c>
      <c r="Q10" s="11"/>
    </row>
    <row r="11" spans="1:18" ht="66" customHeight="1">
      <c r="A11" s="11">
        <f t="shared" si="2"/>
        <v>8</v>
      </c>
      <c r="B11" s="2"/>
      <c r="C11" s="14"/>
      <c r="D11" s="14"/>
      <c r="E11" s="14"/>
      <c r="F11" s="11" t="str">
        <f t="shared" si="12"/>
        <v/>
      </c>
      <c r="G11" s="11" t="str">
        <f t="shared" si="4"/>
        <v/>
      </c>
      <c r="H11" s="11" t="str">
        <f t="shared" si="5"/>
        <v/>
      </c>
      <c r="I11" s="11" t="str">
        <f t="shared" si="6"/>
        <v/>
      </c>
      <c r="J11" s="11" t="str">
        <f t="shared" si="7"/>
        <v/>
      </c>
      <c r="K11" s="11" t="str">
        <f t="shared" si="8"/>
        <v/>
      </c>
      <c r="L11" s="11" t="str">
        <f t="shared" si="9"/>
        <v/>
      </c>
      <c r="M11" s="11" t="str">
        <f t="shared" si="0"/>
        <v/>
      </c>
      <c r="N11" s="11" t="str">
        <f t="shared" si="10"/>
        <v/>
      </c>
      <c r="O11" s="11" t="str">
        <f t="shared" si="11"/>
        <v/>
      </c>
      <c r="P11" s="11" t="str">
        <f t="shared" si="1"/>
        <v/>
      </c>
      <c r="Q11" s="11"/>
    </row>
    <row r="12" spans="1:18" ht="24.75" customHeight="1">
      <c r="A12" s="26" t="str">
        <f>IF(R2="m","جمع طول آرماتورها (متر)","جمع طول آرماتورها (سانتی‌متر)")</f>
        <v>جمع طول آرماتورها (سانتی‌متر)</v>
      </c>
      <c r="B12" s="26"/>
      <c r="C12" s="26"/>
      <c r="D12" s="26"/>
      <c r="E12" s="26"/>
      <c r="F12" s="20">
        <f t="shared" ref="F12:P12" si="13">SUM(F4:F11)</f>
        <v>0</v>
      </c>
      <c r="G12" s="20">
        <f t="shared" si="13"/>
        <v>48160</v>
      </c>
      <c r="H12" s="20">
        <f t="shared" si="13"/>
        <v>0</v>
      </c>
      <c r="I12" s="20">
        <f t="shared" si="13"/>
        <v>0</v>
      </c>
      <c r="J12" s="20">
        <f t="shared" si="13"/>
        <v>0</v>
      </c>
      <c r="K12" s="20">
        <f t="shared" si="13"/>
        <v>48400</v>
      </c>
      <c r="L12" s="20">
        <f t="shared" si="13"/>
        <v>0</v>
      </c>
      <c r="M12" s="20">
        <f t="shared" si="13"/>
        <v>0</v>
      </c>
      <c r="N12" s="20">
        <f t="shared" si="13"/>
        <v>0</v>
      </c>
      <c r="O12" s="20">
        <f t="shared" si="13"/>
        <v>0</v>
      </c>
      <c r="P12" s="20">
        <f t="shared" si="13"/>
        <v>0</v>
      </c>
      <c r="Q12" s="4"/>
    </row>
    <row r="13" spans="1:18" ht="24.75" customHeight="1">
      <c r="A13" s="26" t="str">
        <f>IF(R2="m","وزن هر متر (kg/m)","وزن هر سانتی‌متر (kg/cm)")</f>
        <v>وزن هر سانتی‌متر (kg/cm)</v>
      </c>
      <c r="B13" s="26"/>
      <c r="C13" s="26"/>
      <c r="D13" s="26"/>
      <c r="E13" s="26"/>
      <c r="F13" s="20">
        <f>IF($R$2="m",0.395,0.00395)</f>
        <v>3.9500000000000004E-3</v>
      </c>
      <c r="G13" s="20">
        <f>IF($R$2="m",0.617,0.00617)</f>
        <v>6.1700000000000001E-3</v>
      </c>
      <c r="H13" s="20">
        <f>IF($R$2="m",0.888,0.00888)</f>
        <v>8.8800000000000007E-3</v>
      </c>
      <c r="I13" s="20">
        <f>IF($R$2="m",1.21,0.0121)</f>
        <v>1.21E-2</v>
      </c>
      <c r="J13" s="20">
        <f>IF($R$2="m",1.58,0.0158)</f>
        <v>1.5800000000000002E-2</v>
      </c>
      <c r="K13" s="20">
        <f>IF($R$2="m",2,0.02)</f>
        <v>0.02</v>
      </c>
      <c r="L13" s="20">
        <f>IF($R$2="m",2.47,0.0247)</f>
        <v>2.47E-2</v>
      </c>
      <c r="M13" s="20">
        <f>IF($R$2="m",2.98,0.0298)</f>
        <v>2.98E-2</v>
      </c>
      <c r="N13" s="20">
        <f>IF($R$2="m",3.85,0.0385)</f>
        <v>3.85E-2</v>
      </c>
      <c r="O13" s="20">
        <f>IF($R$2="m",4.83,0.0483)</f>
        <v>4.8300000000000003E-2</v>
      </c>
      <c r="P13" s="20">
        <f>IF($R$2="m",6.31,0.0631)</f>
        <v>6.3100000000000003E-2</v>
      </c>
      <c r="Q13" s="4"/>
    </row>
    <row r="14" spans="1:18" ht="24.75" customHeight="1">
      <c r="A14" s="26" t="s">
        <v>17</v>
      </c>
      <c r="B14" s="26"/>
      <c r="C14" s="26"/>
      <c r="D14" s="26"/>
      <c r="E14" s="26"/>
      <c r="F14" s="20">
        <f>F12*F13</f>
        <v>0</v>
      </c>
      <c r="G14" s="20">
        <f t="shared" ref="G14:P14" si="14">G12*G13</f>
        <v>297.1472</v>
      </c>
      <c r="H14" s="20">
        <f t="shared" si="14"/>
        <v>0</v>
      </c>
      <c r="I14" s="20">
        <f t="shared" si="14"/>
        <v>0</v>
      </c>
      <c r="J14" s="20">
        <f t="shared" si="14"/>
        <v>0</v>
      </c>
      <c r="K14" s="20">
        <f t="shared" si="14"/>
        <v>968</v>
      </c>
      <c r="L14" s="20">
        <f>L12*L13</f>
        <v>0</v>
      </c>
      <c r="M14" s="20">
        <f>M12*M13</f>
        <v>0</v>
      </c>
      <c r="N14" s="20">
        <f t="shared" si="14"/>
        <v>0</v>
      </c>
      <c r="O14" s="20">
        <f t="shared" si="14"/>
        <v>0</v>
      </c>
      <c r="P14" s="20">
        <f t="shared" si="14"/>
        <v>0</v>
      </c>
      <c r="Q14" s="4"/>
    </row>
    <row r="15" spans="1:18" ht="24.75" customHeight="1">
      <c r="A15" s="26" t="s">
        <v>18</v>
      </c>
      <c r="B15" s="26"/>
      <c r="C15" s="26"/>
      <c r="D15" s="26"/>
      <c r="E15" s="26"/>
      <c r="F15" s="27" t="str">
        <f>ROUND(SUM(F14:P14)/1000,3)&amp;" تن"</f>
        <v>1.265 تن</v>
      </c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4"/>
    </row>
    <row r="16" spans="1:18" ht="40.5" customHeight="1"/>
    <row r="17" ht="40.5" customHeight="1"/>
    <row r="18" ht="40.5" customHeight="1"/>
    <row r="19" ht="40.5" customHeight="1"/>
    <row r="20" ht="40.5" customHeight="1"/>
    <row r="21" ht="40.5" customHeight="1"/>
  </sheetData>
  <mergeCells count="12">
    <mergeCell ref="R2:R3"/>
    <mergeCell ref="A12:E12"/>
    <mergeCell ref="A13:E13"/>
    <mergeCell ref="A14:E14"/>
    <mergeCell ref="A15:E15"/>
    <mergeCell ref="F15:P15"/>
    <mergeCell ref="A1:Q1"/>
    <mergeCell ref="A2:A3"/>
    <mergeCell ref="B2:B3"/>
    <mergeCell ref="C2:C3"/>
    <mergeCell ref="E2:E3"/>
    <mergeCell ref="F2:Q2"/>
  </mergeCells>
  <dataValidations count="1">
    <dataValidation type="list" allowBlank="1" showInputMessage="1" showErrorMessage="1" sqref="R2:R3" xr:uid="{144F270A-15F0-4A2C-AABB-BB1C5C1479AF}">
      <formula1>"m,cm"</formula1>
    </dataValidation>
  </dataValidations>
  <pageMargins left="0.51181102362204722" right="0.51181102362204722" top="0.74803149606299213" bottom="0.74803149606299213" header="0.31496062992125984" footer="0.31496062992125984"/>
  <pageSetup paperSize="9" scale="69" fitToHeight="0" orientation="landscape" verticalDpi="0" r:id="rId1"/>
  <colBreaks count="1" manualBreakCount="1">
    <brk id="6" max="34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4E325-0FEC-48BC-9E86-371FA6216D89}">
  <sheetPr codeName="Sheet7">
    <tabColor rgb="FFFFC000"/>
    <pageSetUpPr fitToPage="1"/>
  </sheetPr>
  <dimension ref="A1:R21"/>
  <sheetViews>
    <sheetView tabSelected="1" zoomScale="80" zoomScaleNormal="80" workbookViewId="0">
      <pane ySplit="3" topLeftCell="A4" activePane="bottomLeft" state="frozen"/>
      <selection pane="bottomLeft" activeCell="F6" sqref="F6"/>
    </sheetView>
  </sheetViews>
  <sheetFormatPr defaultColWidth="9.109375" defaultRowHeight="13.8"/>
  <cols>
    <col min="1" max="1" width="9.5546875" style="13" bestFit="1" customWidth="1"/>
    <col min="2" max="2" width="37.88671875" style="13" customWidth="1"/>
    <col min="3" max="5" width="9.5546875" style="13" customWidth="1"/>
    <col min="6" max="16" width="8.44140625" style="13" customWidth="1"/>
    <col min="17" max="17" width="21.44140625" style="13" customWidth="1"/>
    <col min="18" max="16384" width="9.109375" style="1"/>
  </cols>
  <sheetData>
    <row r="1" spans="1:18" ht="30.75" customHeight="1">
      <c r="A1" s="29" t="s">
        <v>29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19" t="s">
        <v>21</v>
      </c>
    </row>
    <row r="2" spans="1:18">
      <c r="A2" s="26" t="s">
        <v>0</v>
      </c>
      <c r="B2" s="30" t="s">
        <v>1</v>
      </c>
      <c r="C2" s="26" t="s">
        <v>2</v>
      </c>
      <c r="D2" s="21" t="s">
        <v>3</v>
      </c>
      <c r="E2" s="26" t="s">
        <v>4</v>
      </c>
      <c r="F2" s="32" t="s">
        <v>5</v>
      </c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28" t="s">
        <v>22</v>
      </c>
    </row>
    <row r="3" spans="1:18">
      <c r="A3" s="26"/>
      <c r="B3" s="31"/>
      <c r="C3" s="26"/>
      <c r="D3" s="21" t="str">
        <f>IF(R2="m","متر","سانتی‌متر")</f>
        <v>سانتی‌متر</v>
      </c>
      <c r="E3" s="26"/>
      <c r="F3" s="21" t="s">
        <v>6</v>
      </c>
      <c r="G3" s="21" t="s">
        <v>7</v>
      </c>
      <c r="H3" s="21" t="s">
        <v>8</v>
      </c>
      <c r="I3" s="21" t="s">
        <v>9</v>
      </c>
      <c r="J3" s="21" t="s">
        <v>10</v>
      </c>
      <c r="K3" s="21" t="s">
        <v>11</v>
      </c>
      <c r="L3" s="21" t="s">
        <v>12</v>
      </c>
      <c r="M3" s="21" t="s">
        <v>23</v>
      </c>
      <c r="N3" s="21" t="s">
        <v>13</v>
      </c>
      <c r="O3" s="21" t="s">
        <v>14</v>
      </c>
      <c r="P3" s="21" t="s">
        <v>15</v>
      </c>
      <c r="Q3" s="21" t="s">
        <v>16</v>
      </c>
      <c r="R3" s="28"/>
    </row>
    <row r="4" spans="1:18" ht="60.75" customHeight="1">
      <c r="A4" s="11">
        <f>ROW()-3</f>
        <v>1</v>
      </c>
      <c r="B4" s="2"/>
      <c r="C4" s="14"/>
      <c r="D4" s="14"/>
      <c r="E4" s="14"/>
      <c r="F4" s="11" t="str">
        <f>IF($C4=8,($D4*$E4),"")</f>
        <v/>
      </c>
      <c r="G4" s="11" t="str">
        <f>IF($C4=10,($D4*$E4),"")</f>
        <v/>
      </c>
      <c r="H4" s="11" t="str">
        <f>IF($C4=12,($D4*$E4),"")</f>
        <v/>
      </c>
      <c r="I4" s="11" t="str">
        <f>IF($C4=14,($D4*$E4),"")</f>
        <v/>
      </c>
      <c r="J4" s="11" t="str">
        <f>IF($C4=16,($D4*$E4),"")</f>
        <v/>
      </c>
      <c r="K4" s="11" t="str">
        <f>IF($C4=18,($D4*$E4),"")</f>
        <v/>
      </c>
      <c r="L4" s="11" t="str">
        <f>IF($C4=20,($D4*$E4),"")</f>
        <v/>
      </c>
      <c r="M4" s="11" t="str">
        <f t="shared" ref="M4:M11" si="0">IF($C4=22,($D4*$E4),"")</f>
        <v/>
      </c>
      <c r="N4" s="11" t="str">
        <f>IF($C4=25,($D4*$E4),"")</f>
        <v/>
      </c>
      <c r="O4" s="11" t="str">
        <f>IF($C4=28,($D4*$E4),"")</f>
        <v/>
      </c>
      <c r="P4" s="11" t="str">
        <f t="shared" ref="P4:P11" si="1">IF($C4=32,($D4*$E4),"")</f>
        <v/>
      </c>
      <c r="Q4" s="11"/>
    </row>
    <row r="5" spans="1:18" ht="60.75" customHeight="1">
      <c r="A5" s="11">
        <f t="shared" ref="A5:A11" si="2">ROW()-3</f>
        <v>2</v>
      </c>
      <c r="B5" s="11"/>
      <c r="C5" s="14"/>
      <c r="D5" s="14"/>
      <c r="E5" s="14"/>
      <c r="F5" s="11" t="str">
        <f t="shared" ref="F5" si="3">IF($C5=8,($D5*$E5),"")</f>
        <v/>
      </c>
      <c r="G5" s="11" t="str">
        <f t="shared" ref="G5:G11" si="4">IF($C5=10,($D5*$E5),"")</f>
        <v/>
      </c>
      <c r="H5" s="11" t="str">
        <f t="shared" ref="H5:H11" si="5">IF($C5=12,($D5*$E5),"")</f>
        <v/>
      </c>
      <c r="I5" s="11" t="str">
        <f t="shared" ref="I5:I11" si="6">IF($C5=14,($D5*$E5),"")</f>
        <v/>
      </c>
      <c r="J5" s="11" t="str">
        <f t="shared" ref="J5:J11" si="7">IF($C5=16,($D5*$E5),"")</f>
        <v/>
      </c>
      <c r="K5" s="11" t="str">
        <f t="shared" ref="K5:K11" si="8">IF($C5=18,($D5*$E5),"")</f>
        <v/>
      </c>
      <c r="L5" s="11" t="str">
        <f t="shared" ref="L5:L11" si="9">IF($C5=20,($D5*$E5),"")</f>
        <v/>
      </c>
      <c r="M5" s="11" t="str">
        <f t="shared" si="0"/>
        <v/>
      </c>
      <c r="N5" s="11" t="str">
        <f t="shared" ref="N5:N11" si="10">IF($C5=25,($D5*$E5),"")</f>
        <v/>
      </c>
      <c r="O5" s="11" t="str">
        <f t="shared" ref="O5:O11" si="11">IF($C5=28,($D5*$E5),"")</f>
        <v/>
      </c>
      <c r="P5" s="11" t="str">
        <f t="shared" si="1"/>
        <v/>
      </c>
      <c r="Q5" s="11"/>
    </row>
    <row r="6" spans="1:18" ht="81.75" customHeight="1">
      <c r="A6" s="11">
        <f t="shared" si="2"/>
        <v>3</v>
      </c>
      <c r="B6" s="2"/>
      <c r="C6" s="14"/>
      <c r="D6" s="14"/>
      <c r="E6" s="14"/>
      <c r="F6" s="11" t="str">
        <f>IF($C6=8,($D6*$E6),"")</f>
        <v/>
      </c>
      <c r="G6" s="11" t="str">
        <f t="shared" si="4"/>
        <v/>
      </c>
      <c r="H6" s="11" t="str">
        <f t="shared" si="5"/>
        <v/>
      </c>
      <c r="I6" s="11" t="str">
        <f t="shared" si="6"/>
        <v/>
      </c>
      <c r="J6" s="11" t="str">
        <f t="shared" si="7"/>
        <v/>
      </c>
      <c r="K6" s="11" t="str">
        <f t="shared" si="8"/>
        <v/>
      </c>
      <c r="L6" s="11" t="str">
        <f t="shared" si="9"/>
        <v/>
      </c>
      <c r="M6" s="11" t="str">
        <f t="shared" si="0"/>
        <v/>
      </c>
      <c r="N6" s="11" t="str">
        <f t="shared" si="10"/>
        <v/>
      </c>
      <c r="O6" s="11" t="str">
        <f t="shared" si="11"/>
        <v/>
      </c>
      <c r="P6" s="11" t="str">
        <f t="shared" si="1"/>
        <v/>
      </c>
      <c r="Q6" s="11"/>
    </row>
    <row r="7" spans="1:18" ht="81.75" customHeight="1">
      <c r="A7" s="11">
        <f t="shared" si="2"/>
        <v>4</v>
      </c>
      <c r="B7" s="2"/>
      <c r="C7" s="14"/>
      <c r="D7" s="14"/>
      <c r="E7" s="14"/>
      <c r="F7" s="11" t="str">
        <f t="shared" ref="F7:F11" si="12">IF($C7=8,($D7*$E7),"")</f>
        <v/>
      </c>
      <c r="G7" s="11" t="str">
        <f t="shared" si="4"/>
        <v/>
      </c>
      <c r="H7" s="11" t="str">
        <f t="shared" si="5"/>
        <v/>
      </c>
      <c r="I7" s="11" t="str">
        <f t="shared" si="6"/>
        <v/>
      </c>
      <c r="J7" s="11" t="str">
        <f t="shared" si="7"/>
        <v/>
      </c>
      <c r="K7" s="11" t="str">
        <f t="shared" si="8"/>
        <v/>
      </c>
      <c r="L7" s="11" t="str">
        <f t="shared" si="9"/>
        <v/>
      </c>
      <c r="M7" s="11" t="str">
        <f t="shared" si="0"/>
        <v/>
      </c>
      <c r="N7" s="11" t="str">
        <f t="shared" si="10"/>
        <v/>
      </c>
      <c r="O7" s="11" t="str">
        <f t="shared" si="11"/>
        <v/>
      </c>
      <c r="P7" s="11" t="str">
        <f t="shared" si="1"/>
        <v/>
      </c>
      <c r="Q7" s="11"/>
    </row>
    <row r="8" spans="1:18" ht="81.75" customHeight="1">
      <c r="A8" s="11">
        <f t="shared" si="2"/>
        <v>5</v>
      </c>
      <c r="B8" s="2"/>
      <c r="C8" s="14"/>
      <c r="D8" s="14"/>
      <c r="E8" s="14"/>
      <c r="F8" s="11" t="str">
        <f t="shared" si="12"/>
        <v/>
      </c>
      <c r="G8" s="11" t="str">
        <f t="shared" si="4"/>
        <v/>
      </c>
      <c r="H8" s="11" t="str">
        <f t="shared" si="5"/>
        <v/>
      </c>
      <c r="I8" s="11" t="str">
        <f t="shared" si="6"/>
        <v/>
      </c>
      <c r="J8" s="11" t="str">
        <f t="shared" si="7"/>
        <v/>
      </c>
      <c r="K8" s="11" t="str">
        <f t="shared" si="8"/>
        <v/>
      </c>
      <c r="L8" s="11" t="str">
        <f t="shared" si="9"/>
        <v/>
      </c>
      <c r="M8" s="11" t="str">
        <f t="shared" si="0"/>
        <v/>
      </c>
      <c r="N8" s="11" t="str">
        <f t="shared" si="10"/>
        <v/>
      </c>
      <c r="O8" s="11" t="str">
        <f t="shared" si="11"/>
        <v/>
      </c>
      <c r="P8" s="11" t="str">
        <f t="shared" si="1"/>
        <v/>
      </c>
      <c r="Q8" s="11"/>
    </row>
    <row r="9" spans="1:18" ht="81.75" customHeight="1">
      <c r="A9" s="11">
        <f t="shared" si="2"/>
        <v>6</v>
      </c>
      <c r="B9" s="2"/>
      <c r="C9" s="14"/>
      <c r="D9" s="14"/>
      <c r="E9" s="14"/>
      <c r="F9" s="11" t="str">
        <f t="shared" si="12"/>
        <v/>
      </c>
      <c r="G9" s="11" t="str">
        <f t="shared" si="4"/>
        <v/>
      </c>
      <c r="H9" s="11" t="str">
        <f t="shared" si="5"/>
        <v/>
      </c>
      <c r="I9" s="11" t="str">
        <f t="shared" si="6"/>
        <v/>
      </c>
      <c r="J9" s="11" t="str">
        <f t="shared" si="7"/>
        <v/>
      </c>
      <c r="K9" s="11" t="str">
        <f t="shared" si="8"/>
        <v/>
      </c>
      <c r="L9" s="11" t="str">
        <f t="shared" si="9"/>
        <v/>
      </c>
      <c r="M9" s="11" t="str">
        <f t="shared" si="0"/>
        <v/>
      </c>
      <c r="N9" s="11" t="str">
        <f t="shared" si="10"/>
        <v/>
      </c>
      <c r="O9" s="11" t="str">
        <f t="shared" si="11"/>
        <v/>
      </c>
      <c r="P9" s="11" t="str">
        <f t="shared" si="1"/>
        <v/>
      </c>
      <c r="Q9" s="11"/>
    </row>
    <row r="10" spans="1:18" ht="66" customHeight="1">
      <c r="A10" s="11">
        <f t="shared" si="2"/>
        <v>7</v>
      </c>
      <c r="B10" s="2"/>
      <c r="C10" s="14"/>
      <c r="D10" s="14"/>
      <c r="E10" s="14"/>
      <c r="F10" s="11" t="str">
        <f t="shared" si="12"/>
        <v/>
      </c>
      <c r="G10" s="11" t="str">
        <f t="shared" si="4"/>
        <v/>
      </c>
      <c r="H10" s="11" t="str">
        <f t="shared" si="5"/>
        <v/>
      </c>
      <c r="I10" s="11" t="str">
        <f t="shared" si="6"/>
        <v/>
      </c>
      <c r="J10" s="11" t="str">
        <f t="shared" si="7"/>
        <v/>
      </c>
      <c r="K10" s="11" t="str">
        <f t="shared" si="8"/>
        <v/>
      </c>
      <c r="L10" s="11" t="str">
        <f t="shared" si="9"/>
        <v/>
      </c>
      <c r="M10" s="11" t="str">
        <f t="shared" si="0"/>
        <v/>
      </c>
      <c r="N10" s="11" t="str">
        <f t="shared" si="10"/>
        <v/>
      </c>
      <c r="O10" s="11" t="str">
        <f t="shared" si="11"/>
        <v/>
      </c>
      <c r="P10" s="11" t="str">
        <f t="shared" si="1"/>
        <v/>
      </c>
      <c r="Q10" s="11"/>
    </row>
    <row r="11" spans="1:18" ht="66" customHeight="1">
      <c r="A11" s="11">
        <f t="shared" si="2"/>
        <v>8</v>
      </c>
      <c r="B11" s="2"/>
      <c r="C11" s="14"/>
      <c r="D11" s="14"/>
      <c r="E11" s="14"/>
      <c r="F11" s="11" t="str">
        <f t="shared" si="12"/>
        <v/>
      </c>
      <c r="G11" s="11" t="str">
        <f t="shared" si="4"/>
        <v/>
      </c>
      <c r="H11" s="11" t="str">
        <f t="shared" si="5"/>
        <v/>
      </c>
      <c r="I11" s="11" t="str">
        <f t="shared" si="6"/>
        <v/>
      </c>
      <c r="J11" s="11" t="str">
        <f t="shared" si="7"/>
        <v/>
      </c>
      <c r="K11" s="11" t="str">
        <f t="shared" si="8"/>
        <v/>
      </c>
      <c r="L11" s="11" t="str">
        <f t="shared" si="9"/>
        <v/>
      </c>
      <c r="M11" s="11" t="str">
        <f t="shared" si="0"/>
        <v/>
      </c>
      <c r="N11" s="11" t="str">
        <f t="shared" si="10"/>
        <v/>
      </c>
      <c r="O11" s="11" t="str">
        <f t="shared" si="11"/>
        <v/>
      </c>
      <c r="P11" s="11" t="str">
        <f t="shared" si="1"/>
        <v/>
      </c>
      <c r="Q11" s="11"/>
    </row>
    <row r="12" spans="1:18" ht="24.75" customHeight="1">
      <c r="A12" s="26" t="str">
        <f>IF(R2="m","جمع طول آرماتورها (متر)","جمع طول آرماتورها (سانتی‌متر)")</f>
        <v>جمع طول آرماتورها (سانتی‌متر)</v>
      </c>
      <c r="B12" s="26"/>
      <c r="C12" s="26"/>
      <c r="D12" s="26"/>
      <c r="E12" s="26"/>
      <c r="F12" s="20">
        <f t="shared" ref="F12:P12" si="13">SUM(F4:F11)</f>
        <v>0</v>
      </c>
      <c r="G12" s="20">
        <f t="shared" si="13"/>
        <v>0</v>
      </c>
      <c r="H12" s="20">
        <f t="shared" si="13"/>
        <v>0</v>
      </c>
      <c r="I12" s="20">
        <f t="shared" si="13"/>
        <v>0</v>
      </c>
      <c r="J12" s="20">
        <f t="shared" si="13"/>
        <v>0</v>
      </c>
      <c r="K12" s="20">
        <f t="shared" si="13"/>
        <v>0</v>
      </c>
      <c r="L12" s="20">
        <f t="shared" si="13"/>
        <v>0</v>
      </c>
      <c r="M12" s="20">
        <f t="shared" si="13"/>
        <v>0</v>
      </c>
      <c r="N12" s="20">
        <f t="shared" si="13"/>
        <v>0</v>
      </c>
      <c r="O12" s="20">
        <f t="shared" si="13"/>
        <v>0</v>
      </c>
      <c r="P12" s="20">
        <f t="shared" si="13"/>
        <v>0</v>
      </c>
      <c r="Q12" s="4"/>
    </row>
    <row r="13" spans="1:18" ht="24.75" customHeight="1">
      <c r="A13" s="26" t="str">
        <f>IF(R2="m","وزن هر متر (kg/m)","وزن هر سانتی‌متر (kg/cm)")</f>
        <v>وزن هر سانتی‌متر (kg/cm)</v>
      </c>
      <c r="B13" s="26"/>
      <c r="C13" s="26"/>
      <c r="D13" s="26"/>
      <c r="E13" s="26"/>
      <c r="F13" s="20">
        <f>IF($R$2="m",0.395,0.00395)</f>
        <v>3.9500000000000004E-3</v>
      </c>
      <c r="G13" s="20">
        <f>IF($R$2="m",0.617,0.00617)</f>
        <v>6.1700000000000001E-3</v>
      </c>
      <c r="H13" s="20">
        <f>IF($R$2="m",0.888,0.00888)</f>
        <v>8.8800000000000007E-3</v>
      </c>
      <c r="I13" s="20">
        <f>IF($R$2="m",1.21,0.0121)</f>
        <v>1.21E-2</v>
      </c>
      <c r="J13" s="20">
        <f>IF($R$2="m",1.58,0.0158)</f>
        <v>1.5800000000000002E-2</v>
      </c>
      <c r="K13" s="20">
        <f>IF($R$2="m",2,0.02)</f>
        <v>0.02</v>
      </c>
      <c r="L13" s="20">
        <f>IF($R$2="m",2.47,0.0247)</f>
        <v>2.47E-2</v>
      </c>
      <c r="M13" s="20">
        <f>IF($R$2="m",2.98,0.0298)</f>
        <v>2.98E-2</v>
      </c>
      <c r="N13" s="20">
        <f>IF($R$2="m",3.85,0.0385)</f>
        <v>3.85E-2</v>
      </c>
      <c r="O13" s="20">
        <f>IF($R$2="m",4.83,0.0483)</f>
        <v>4.8300000000000003E-2</v>
      </c>
      <c r="P13" s="20">
        <f>IF($R$2="m",6.31,0.0631)</f>
        <v>6.3100000000000003E-2</v>
      </c>
      <c r="Q13" s="4"/>
    </row>
    <row r="14" spans="1:18" ht="24.75" customHeight="1">
      <c r="A14" s="26" t="s">
        <v>17</v>
      </c>
      <c r="B14" s="26"/>
      <c r="C14" s="26"/>
      <c r="D14" s="26"/>
      <c r="E14" s="26"/>
      <c r="F14" s="20">
        <f>F12*F13</f>
        <v>0</v>
      </c>
      <c r="G14" s="20">
        <f t="shared" ref="G14:P14" si="14">G12*G13</f>
        <v>0</v>
      </c>
      <c r="H14" s="20">
        <f t="shared" si="14"/>
        <v>0</v>
      </c>
      <c r="I14" s="20">
        <f t="shared" si="14"/>
        <v>0</v>
      </c>
      <c r="J14" s="20">
        <f t="shared" si="14"/>
        <v>0</v>
      </c>
      <c r="K14" s="20">
        <f t="shared" si="14"/>
        <v>0</v>
      </c>
      <c r="L14" s="20">
        <f>L12*L13</f>
        <v>0</v>
      </c>
      <c r="M14" s="20">
        <f>M12*M13</f>
        <v>0</v>
      </c>
      <c r="N14" s="20">
        <f t="shared" si="14"/>
        <v>0</v>
      </c>
      <c r="O14" s="20">
        <f t="shared" si="14"/>
        <v>0</v>
      </c>
      <c r="P14" s="20">
        <f t="shared" si="14"/>
        <v>0</v>
      </c>
      <c r="Q14" s="4"/>
    </row>
    <row r="15" spans="1:18" ht="24.75" customHeight="1">
      <c r="A15" s="26" t="s">
        <v>18</v>
      </c>
      <c r="B15" s="26"/>
      <c r="C15" s="26"/>
      <c r="D15" s="26"/>
      <c r="E15" s="26"/>
      <c r="F15" s="27" t="str">
        <f>ROUND(SUM(F14:P14)/1000,3)&amp;" تن"</f>
        <v>0 تن</v>
      </c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4"/>
    </row>
    <row r="16" spans="1:18" ht="40.5" customHeight="1"/>
    <row r="17" ht="40.5" customHeight="1"/>
    <row r="18" ht="40.5" customHeight="1"/>
    <row r="19" ht="40.5" customHeight="1"/>
    <row r="20" ht="40.5" customHeight="1"/>
    <row r="21" ht="40.5" customHeight="1"/>
  </sheetData>
  <mergeCells count="12">
    <mergeCell ref="R2:R3"/>
    <mergeCell ref="A12:E12"/>
    <mergeCell ref="A13:E13"/>
    <mergeCell ref="A14:E14"/>
    <mergeCell ref="A15:E15"/>
    <mergeCell ref="F15:P15"/>
    <mergeCell ref="A1:Q1"/>
    <mergeCell ref="A2:A3"/>
    <mergeCell ref="B2:B3"/>
    <mergeCell ref="C2:C3"/>
    <mergeCell ref="E2:E3"/>
    <mergeCell ref="F2:Q2"/>
  </mergeCells>
  <dataValidations count="1">
    <dataValidation type="list" allowBlank="1" showInputMessage="1" showErrorMessage="1" sqref="R2:R3" xr:uid="{96977264-228D-4E21-B8F0-13653F5F712F}">
      <formula1>"m,cm"</formula1>
    </dataValidation>
  </dataValidations>
  <pageMargins left="0.51181102362204722" right="0.51181102362204722" top="0.74803149606299213" bottom="0.74803149606299213" header="0.31496062992125984" footer="0.31496062992125984"/>
  <pageSetup paperSize="9" scale="69" fitToHeight="0" orientation="landscape" verticalDpi="0" r:id="rId1"/>
  <colBreaks count="1" manualBreakCount="1">
    <brk id="6" max="34" man="1"/>
  </colBreaks>
  <drawing r:id="rId2"/>
</worksheet>
</file>

<file path=customUI/_rels/customUI14.xml.rels><?xml version="1.0" encoding="UTF-8" standalone="yes"?>
<Relationships xmlns="http://schemas.openxmlformats.org/package/2006/relationships"><Relationship Id="SakhtoEjra_logo" Type="http://schemas.openxmlformats.org/officeDocument/2006/relationships/image" Target="images/SakhtoEjra_logo.jpg"/><Relationship Id="SakhtoEjra_logo2" Type="http://schemas.openxmlformats.org/officeDocument/2006/relationships/image" Target="images/SakhtoEjra_logo2.png"/></Relationships>
</file>

<file path=customUI/customUI14.xml><?xml version="1.0" encoding="utf-8"?>
<customUI xmlns="http://schemas.microsoft.com/office/2009/07/customui">
  <ribbon startFromScratch="false">
    <tabs>
      <tab id="SakhtoEjra" label="SakhtoEjra">
        <group id="customGroup" label="CopyRight">
          <button id="customButton" label="SakhtoEjra.com" image="SakhtoEjra_logo2" size="large" onAction="inf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Shape</vt:lpstr>
      <vt:lpstr>Main</vt:lpstr>
      <vt:lpstr>fondation</vt:lpstr>
      <vt:lpstr>C1</vt:lpstr>
      <vt:lpstr>C2</vt:lpstr>
      <vt:lpstr>B1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2023-06-22T08:29:41Z</dcterms:modified>
</cp:coreProperties>
</file>